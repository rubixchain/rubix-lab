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Test Cases" sheetId="1" state="visible" r:id="rId1"/>
    <sheet name="Consolidated Cases" sheetId="2" state="visible" r:id="rId2"/>
    <sheet name="Legend" sheetId="3" state="visible" r:id="rId3"/>
  </sheets>
  <definedNames>
    <definedName name="_xlnm._FilterDatabase" localSheetId="0" hidden="1">'Test Cases'!$A$1:$Q$252</definedName>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10"/>
    </font>
    <font>
      <name val="Arial"/>
      <charset val="1"/>
      <family val="0"/>
      <b val="1"/>
      <sz val="10"/>
    </font>
    <font>
      <name val="Arial"/>
      <charset val="1"/>
      <family val="0"/>
      <b val="1"/>
      <sz val="12"/>
    </font>
    <font>
      <name val="Arial"/>
      <sz val="10"/>
    </font>
    <font>
      <name val="Arial"/>
      <b val="1"/>
      <sz val="11"/>
    </font>
    <font>
      <name val="Arial"/>
      <b val="1"/>
      <color rgb="00FFFFFF"/>
      <sz val="10"/>
    </font>
  </fonts>
  <fills count="7">
    <fill>
      <patternFill/>
    </fill>
    <fill>
      <patternFill patternType="gray125"/>
    </fill>
    <fill>
      <patternFill patternType="solid">
        <fgColor rgb="FF44546A"/>
        <bgColor rgb="FF333399"/>
      </patternFill>
    </fill>
    <fill>
      <patternFill patternType="solid">
        <fgColor rgb="FFFFF2CC"/>
        <bgColor rgb="FFFFFFFF"/>
      </patternFill>
    </fill>
    <fill>
      <patternFill patternType="solid">
        <fgColor rgb="FFFF0000"/>
        <bgColor rgb="FF993300"/>
      </patternFill>
    </fill>
    <fill>
      <patternFill patternType="solid">
        <fgColor rgb="00FFF2CC"/>
      </patternFill>
    </fill>
    <fill>
      <patternFill patternType="solid">
        <fgColor rgb="0044546A"/>
      </patternFill>
    </fill>
  </fills>
  <borders count="3">
    <border>
      <left/>
      <right/>
      <top/>
      <bottom/>
      <diagonal/>
    </border>
    <border>
      <left/>
      <right/>
      <top/>
      <bottom style="thin">
        <color rgb="FFBFBFBF"/>
      </bottom>
      <diagonal/>
    </border>
    <border>
      <bottom style="thin">
        <color rgb="00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center" wrapText="1"/>
    </xf>
    <xf numFmtId="0" fontId="0" fillId="0" borderId="0" applyAlignment="1" pivotButton="0" quotePrefix="0" xfId="0">
      <alignment horizontal="general" vertical="bottom"/>
    </xf>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0" fontId="5" fillId="4" borderId="1" applyAlignment="1" pivotButton="0" quotePrefix="0" xfId="0">
      <alignment horizontal="general" vertical="top" wrapText="1"/>
    </xf>
    <xf numFmtId="0" fontId="0" fillId="4" borderId="0" applyAlignment="1" pivotButton="0" quotePrefix="0" xfId="0">
      <alignment horizontal="general" vertical="bottom"/>
    </xf>
    <xf numFmtId="0" fontId="4" fillId="2" borderId="0" applyAlignment="1" pivotButton="0" quotePrefix="0" xfId="0">
      <alignment horizontal="general" vertical="center" wrapText="1"/>
    </xf>
    <xf numFmtId="0" fontId="6" fillId="0" borderId="0" applyAlignment="1" pivotButton="0" quotePrefix="0" xfId="0">
      <alignment horizontal="general" vertical="top" wrapText="1"/>
    </xf>
    <xf numFmtId="0" fontId="5" fillId="0" borderId="0" applyAlignment="1" pivotButton="0" quotePrefix="0" xfId="0">
      <alignment horizontal="general" vertical="top" wrapText="1"/>
    </xf>
    <xf numFmtId="0" fontId="7" fillId="0" borderId="0" applyAlignment="1" pivotButton="0" quotePrefix="0" xfId="0">
      <alignment horizontal="general" vertical="top" wrapText="1"/>
    </xf>
    <xf numFmtId="0" fontId="5"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wrapText="1"/>
    </xf>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0" fontId="0" fillId="4" borderId="0" applyAlignment="1" pivotButton="0" quotePrefix="0" xfId="0">
      <alignment horizontal="general" vertical="bottom"/>
    </xf>
    <xf numFmtId="0" fontId="5" fillId="4" borderId="1" applyAlignment="1" pivotButton="0" quotePrefix="0" xfId="0">
      <alignment horizontal="general" vertical="top" wrapText="1"/>
    </xf>
    <xf numFmtId="0" fontId="4" fillId="2" borderId="0" applyAlignment="1" pivotButton="0" quotePrefix="0" xfId="0">
      <alignment horizontal="general" vertical="center" wrapText="1"/>
    </xf>
    <xf numFmtId="0" fontId="6" fillId="0" borderId="0" applyAlignment="1" pivotButton="0" quotePrefix="0" xfId="0">
      <alignment horizontal="general" vertical="top" wrapText="1"/>
    </xf>
    <xf numFmtId="0" fontId="5" fillId="0" borderId="0" applyAlignment="1" pivotButton="0" quotePrefix="0" xfId="0">
      <alignment horizontal="general" vertical="top" wrapText="1"/>
    </xf>
    <xf numFmtId="0" fontId="7" fillId="0" borderId="0" applyAlignment="1" pivotButton="0" quotePrefix="0" xfId="0">
      <alignment horizontal="general" vertical="top" wrapText="1"/>
    </xf>
    <xf numFmtId="0" fontId="5" fillId="0" borderId="0" applyAlignment="1" pivotButton="0" quotePrefix="0" xfId="0">
      <alignment horizontal="general" vertical="bottom"/>
    </xf>
    <xf numFmtId="0" fontId="8" fillId="0" borderId="2" applyAlignment="1" pivotButton="0" quotePrefix="0" xfId="0">
      <alignment vertical="top" wrapText="1"/>
    </xf>
    <xf numFmtId="0" fontId="8" fillId="5" borderId="2" applyAlignment="1" pivotButton="0" quotePrefix="0" xfId="0">
      <alignment vertical="top" wrapText="1"/>
    </xf>
    <xf numFmtId="0" fontId="9" fillId="0" borderId="0" pivotButton="0" quotePrefix="0" xfId="0"/>
    <xf numFmtId="0" fontId="10" fillId="6" borderId="0" pivotButton="0" quotePrefix="0" xfId="0"/>
    <xf numFmtId="0" fontId="8" fillId="0" borderId="0" applyAlignment="1" pivotButton="0" quotePrefix="0" xfId="0">
      <alignment vertical="top"/>
    </xf>
    <xf numFmtId="0" fontId="8" fillId="0" borderId="0" applyAlignment="1" pivotButton="0" quotePrefix="0" xfId="0">
      <alignment vertical="top" wrapText="1"/>
    </xf>
    <xf numFmtId="0" fontId="8" fillId="0" borderId="1"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44546A"/>
          <bgColor rgb="FF000000"/>
        </patternFill>
      </fill>
    </dxf>
    <dxf>
      <fill>
        <patternFill patternType="solid">
          <fgColor rgb="FFFF0000"/>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4546A"/>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Q252"/>
  <sheetViews>
    <sheetView showFormulas="0" showGridLines="1" showRowColHeaders="1" showZeros="1" rightToLeft="0" tabSelected="1" showOutlineSymbols="1" defaultGridColor="1" view="normal" topLeftCell="E1" colorId="64" zoomScale="75" zoomScaleNormal="75" zoomScalePageLayoutView="100" workbookViewId="0">
      <pane ySplit="1" topLeftCell="A2" activePane="bottomLeft" state="frozen"/>
      <selection pane="bottomLeft" activeCell="E1" activeCellId="0" sqref="E1"/>
      <selection pane="bottomLeft" activeCell="F413" activeCellId="0" sqref="F413"/>
    </sheetView>
  </sheetViews>
  <sheetFormatPr baseColWidth="8" defaultColWidth="8.453125" defaultRowHeight="15" customHeight="0" zeroHeight="0" outlineLevelRow="0"/>
  <cols>
    <col width="11" customWidth="1" style="13" min="1" max="2"/>
    <col width="7" customWidth="1" style="13" min="3" max="3"/>
    <col width="12" customWidth="1" style="13" min="4" max="4"/>
    <col width="16" customWidth="1" style="13" min="5" max="5"/>
    <col width="52" customWidth="1" style="13" min="6" max="6"/>
    <col width="12" customWidth="1" style="13" min="7" max="7"/>
    <col width="8" customWidth="1" style="13" min="8" max="8"/>
    <col width="38" customWidth="1" style="13" min="9" max="9"/>
    <col width="30" customWidth="1" style="13" min="10" max="10"/>
    <col width="7" customWidth="1" style="13" min="11" max="11"/>
    <col width="30" customWidth="1" style="13" min="12" max="12"/>
    <col width="10" customWidth="1" style="13" min="13" max="13"/>
    <col width="13" customWidth="1" style="13" min="14" max="14"/>
    <col width="12" customWidth="1" style="13" min="15" max="15"/>
    <col width="78" customWidth="1" style="13" min="16" max="16"/>
    <col width="58.14" customWidth="1" style="13" min="17" max="17"/>
  </cols>
  <sheetData>
    <row r="1" ht="34.5" customHeight="1" s="14">
      <c r="A1" s="15" t="inlineStr">
        <is>
          <t>Test ID</t>
        </is>
      </c>
      <c r="B1" s="15" t="inlineStr">
        <is>
          <t>Asset</t>
        </is>
      </c>
      <c r="C1" s="15" t="inlineStr">
        <is>
          <t>Layer</t>
        </is>
      </c>
      <c r="D1" s="15" t="inlineStr">
        <is>
          <t>Type</t>
        </is>
      </c>
      <c r="E1" s="15" t="inlineStr">
        <is>
          <t>Op Group</t>
        </is>
      </c>
      <c r="F1" s="15" t="inlineStr">
        <is>
          <t>Test Case</t>
        </is>
      </c>
      <c r="G1" s="15" t="inlineStr">
        <is>
          <t>Setup Method</t>
        </is>
      </c>
      <c r="H1" s="15" t="inlineStr">
        <is>
          <t>Quorum Setup</t>
        </is>
      </c>
      <c r="I1" s="15" t="inlineStr">
        <is>
          <t>Expected Result</t>
        </is>
      </c>
      <c r="J1" s="15" t="inlineStr">
        <is>
          <t>Also Check In Same Run</t>
        </is>
      </c>
      <c r="K1" s="15" t="inlineStr">
        <is>
          <t>Priority</t>
        </is>
      </c>
      <c r="L1" s="15" t="inlineStr">
        <is>
          <t>Code Ref</t>
        </is>
      </c>
      <c r="M1" s="15" t="inlineStr">
        <is>
          <t>Legacy ID</t>
        </is>
      </c>
      <c r="N1" s="15" t="inlineStr">
        <is>
          <t>Implemented In</t>
        </is>
      </c>
      <c r="O1" s="15" t="inlineStr">
        <is>
          <t>Core Overlap</t>
        </is>
      </c>
      <c r="P1" s="15" t="inlineStr">
        <is>
          <t>Review Notes</t>
        </is>
      </c>
      <c r="Q1" s="13" t="inlineStr">
        <is>
          <t>Feedback</t>
        </is>
      </c>
    </row>
    <row r="2" ht="34.5" customHeight="1" s="14">
      <c r="A2" s="25" t="inlineStr">
        <is>
          <t>RBT-T-05</t>
        </is>
      </c>
      <c r="B2" s="25" t="inlineStr">
        <is>
          <t>RBT</t>
        </is>
      </c>
      <c r="C2" s="25" t="inlineStr">
        <is>
          <t>Code</t>
        </is>
      </c>
      <c r="D2" s="25" t="inlineStr">
        <is>
          <t>Functional</t>
        </is>
      </c>
      <c r="E2" s="25" t="inlineStr">
        <is>
          <t>Transfer</t>
        </is>
      </c>
      <c r="F2" s="25" t="inlineStr">
        <is>
          <t>Send RBT to yourself (same DID both sides)</t>
        </is>
      </c>
      <c r="G2" s="25" t="inlineStr">
        <is>
          <t>API</t>
        </is>
      </c>
      <c r="H2" s="25" t="inlineStr">
        <is>
          <t>Single</t>
        </is>
      </c>
      <c r="I2" s="25" t="inlineStr">
        <is>
          <t>Succeeds and stays on the node</t>
        </is>
      </c>
      <c r="J2" s="25" t="inlineStr">
        <is>
          <t>Balance unchanged overall; chain still grows; no network call made</t>
        </is>
      </c>
      <c r="K2" s="25" t="inlineStr">
        <is>
          <t>P1</t>
        </is>
      </c>
      <c r="L2" s="25" t="inlineStr">
        <is>
          <t>core/transaction.go:495</t>
        </is>
      </c>
      <c r="M2" s="25" t="inlineStr">
        <is>
          <t>RBT-009</t>
        </is>
      </c>
      <c r="N2" s="25" t="inlineStr">
        <is>
          <t>master</t>
        </is>
      </c>
      <c r="O2" s="25" t="n"/>
      <c r="P2" s="26" t="inlineStr">
        <is>
          <t>OK - self-transfer is supported and takes the local-DID branch (core/transaction.go:495-510). Assert it stays on one node and that denom counters do not double-count.</t>
        </is>
      </c>
      <c r="Q2" s="25" t="inlineStr">
        <is>
          <t>Check core for possibility and need of a testcase</t>
        </is>
      </c>
    </row>
    <row r="3" ht="24" customHeight="1" s="14">
      <c r="A3" s="25" t="inlineStr">
        <is>
          <t>RBT-T-07</t>
        </is>
      </c>
      <c r="B3" s="25" t="inlineStr">
        <is>
          <t>RBT</t>
        </is>
      </c>
      <c r="C3" s="25" t="inlineStr">
        <is>
          <t>Code</t>
        </is>
      </c>
      <c r="D3" s="25" t="inlineStr">
        <is>
          <t>Functional</t>
        </is>
      </c>
      <c r="E3" s="25" t="inlineStr">
        <is>
          <t>Transfer</t>
        </is>
      </c>
      <c r="F3" s="25" t="inlineStr">
        <is>
          <t>Send RBT with no receiver given</t>
        </is>
      </c>
      <c r="G3" s="25" t="inlineStr">
        <is>
          <t>API</t>
        </is>
      </c>
      <c r="H3" s="25" t="inlineStr">
        <is>
          <t>Single</t>
        </is>
      </c>
      <c r="I3" s="25" t="inlineStr">
        <is>
          <t>Define what happens - receiver falls back to sender</t>
        </is>
      </c>
      <c r="J3" s="25" t="inlineStr">
        <is>
          <t>Compare result against RBT-T-05</t>
        </is>
      </c>
      <c r="K3" s="25" t="inlineStr">
        <is>
          <t>P1</t>
        </is>
      </c>
      <c r="L3" s="25" t="inlineStr">
        <is>
          <t>core/transaction_builder.go:406</t>
        </is>
      </c>
      <c r="M3" s="25" t="inlineStr">
        <is>
          <t>RBT-011</t>
        </is>
      </c>
      <c r="N3" s="25" t="inlineStr">
        <is>
          <t>master</t>
        </is>
      </c>
      <c r="O3" s="25" t="n"/>
      <c r="P3" s="26" t="inlineStr">
        <is>
          <t>VERIFY FIRST - I have not confirmed what an empty owner does for an RBT transfer. For SC the owner is deliberately "". Check before fixing the expectation.</t>
        </is>
      </c>
      <c r="Q3" s="25" t="inlineStr">
        <is>
          <t>Do check, do multiple formats, only Rubix DID format should be accepted</t>
        </is>
      </c>
    </row>
    <row r="4" ht="24" customHeight="1" s="14">
      <c r="A4" s="25" t="inlineStr">
        <is>
          <t>RBT-T-08</t>
        </is>
      </c>
      <c r="B4" s="25" t="inlineStr">
        <is>
          <t>RBT</t>
        </is>
      </c>
      <c r="C4" s="25" t="inlineStr">
        <is>
          <t>Code</t>
        </is>
      </c>
      <c r="D4" s="25" t="inlineStr">
        <is>
          <t>Functional</t>
        </is>
      </c>
      <c r="E4" s="25" t="inlineStr">
        <is>
          <t>Transfer</t>
        </is>
      </c>
      <c r="F4" s="25" t="inlineStr">
        <is>
          <t>Send RBT again right after receiving it</t>
        </is>
      </c>
      <c r="G4" s="25" t="inlineStr">
        <is>
          <t>API</t>
        </is>
      </c>
      <c r="H4" s="25" t="inlineStr">
        <is>
          <t>Single</t>
        </is>
      </c>
      <c r="I4" s="25" t="inlineStr">
        <is>
          <t>Succeeds</t>
        </is>
      </c>
      <c r="J4" s="25" t="inlineStr">
        <is>
          <t>No stale chain error; chain tip correct</t>
        </is>
      </c>
      <c r="K4" s="25" t="inlineStr">
        <is>
          <t>P0</t>
        </is>
      </c>
      <c r="L4" s="25" t="inlineStr">
        <is>
          <t>core/consensus/checks.go:672</t>
        </is>
      </c>
      <c r="M4" s="25" t="inlineStr">
        <is>
          <t>RBT-012</t>
        </is>
      </c>
      <c r="N4" s="25" t="inlineStr">
        <is>
          <t>master</t>
        </is>
      </c>
      <c r="O4" s="25" t="n"/>
      <c r="P4" s="26" t="inlineStr">
        <is>
          <t>OK - receiver credits 1-2s after the sender's call returns, so poll; do not read the balance once.</t>
        </is>
      </c>
      <c r="Q4" s="25" t="n"/>
    </row>
    <row r="5" ht="24" customHeight="1" s="14">
      <c r="A5" s="25" t="inlineStr">
        <is>
          <t>RBT-V-01</t>
        </is>
      </c>
      <c r="B5" s="25" t="inlineStr">
        <is>
          <t>RBT</t>
        </is>
      </c>
      <c r="C5" s="25" t="inlineStr">
        <is>
          <t>Code</t>
        </is>
      </c>
      <c r="D5" s="25" t="inlineStr">
        <is>
          <t>Functional</t>
        </is>
      </c>
      <c r="E5" s="25" t="inlineStr">
        <is>
          <t>Transfer Value</t>
        </is>
      </c>
      <c r="F5" s="25" t="inlineStr">
        <is>
          <t>Send 0.001 (smallest allowed)</t>
        </is>
      </c>
      <c r="G5" s="25" t="inlineStr">
        <is>
          <t>API</t>
        </is>
      </c>
      <c r="H5" s="25" t="inlineStr">
        <is>
          <t>Single</t>
        </is>
      </c>
      <c r="I5" s="25" t="inlineStr">
        <is>
          <t>Succeeds</t>
        </is>
      </c>
      <c r="J5" s="25" t="inlineStr">
        <is>
          <t>Exact value moved; note how many split levels were needed</t>
        </is>
      </c>
      <c r="K5" s="25" t="inlineStr">
        <is>
          <t>P0</t>
        </is>
      </c>
      <c r="L5" s="25" t="inlineStr">
        <is>
          <t>math/math.go:29</t>
        </is>
      </c>
      <c r="M5" s="25" t="inlineStr">
        <is>
          <t>RBT-013</t>
        </is>
      </c>
      <c r="N5" s="25" t="inlineStr">
        <is>
          <t>master</t>
        </is>
      </c>
      <c r="O5" s="25" t="n"/>
      <c r="P5" s="26" t="inlineStr">
        <is>
          <t>OK - 0.001 is MinDecimalUnit (math/math.go:28-31).</t>
        </is>
      </c>
      <c r="Q5" s="25" t="n"/>
    </row>
    <row r="6" ht="24" customHeight="1" s="14">
      <c r="A6" s="25" t="inlineStr">
        <is>
          <t>RBT-V-02</t>
        </is>
      </c>
      <c r="B6" s="25" t="inlineStr">
        <is>
          <t>RBT</t>
        </is>
      </c>
      <c r="C6" s="25" t="inlineStr">
        <is>
          <t>Code</t>
        </is>
      </c>
      <c r="D6" s="25" t="inlineStr">
        <is>
          <t>Functional</t>
        </is>
      </c>
      <c r="E6" s="25" t="inlineStr">
        <is>
          <t>Transfer Value</t>
        </is>
      </c>
      <c r="F6" s="25" t="inlineStr">
        <is>
          <t>Send 0.0001 (below the allowed minimum)</t>
        </is>
      </c>
      <c r="G6" s="25" t="inlineStr">
        <is>
          <t>API</t>
        </is>
      </c>
      <c r="H6" s="25" t="inlineStr">
        <is>
          <t>Single</t>
        </is>
      </c>
      <c r="I6" s="25" t="inlineStr">
        <is>
          <t>Rejected</t>
        </is>
      </c>
      <c r="J6" s="25" t="inlineStr">
        <is>
          <t>Balance unchanged; tokens released</t>
        </is>
      </c>
      <c r="K6" s="25" t="inlineStr">
        <is>
          <t>P0</t>
        </is>
      </c>
      <c r="L6" s="25" t="inlineStr">
        <is>
          <t>math/math.go:16</t>
        </is>
      </c>
      <c r="M6" s="25" t="inlineStr">
        <is>
          <t>RBT-014</t>
        </is>
      </c>
      <c r="N6" s="25" t="inlineStr">
        <is>
          <t>master</t>
        </is>
      </c>
      <c r="O6" s="25" t="inlineStr">
        <is>
          <t>kept - core rejects 0.00000009; 0.0001 takes the FloatPrecision round-to-zero branch instead</t>
        </is>
      </c>
      <c r="P6" s="26" t="inlineStr">
        <is>
          <t>OK - rejected, but by a STRING check on the shortest float form, not by rounding (core/parts/parts.go:54-58). Expected result is right; the reason matters for the note column.</t>
        </is>
      </c>
      <c r="Q6" s="25" t="inlineStr">
        <is>
          <t xml:space="preserve">Do, max possible should be 0.001 </t>
        </is>
      </c>
    </row>
    <row r="7" ht="24" customHeight="1" s="14">
      <c r="A7" s="25" t="inlineStr">
        <is>
          <t>RBT-V-03</t>
        </is>
      </c>
      <c r="B7" s="25" t="inlineStr">
        <is>
          <t>RBT</t>
        </is>
      </c>
      <c r="C7" s="25" t="inlineStr">
        <is>
          <t>Code</t>
        </is>
      </c>
      <c r="D7" s="25" t="inlineStr">
        <is>
          <t>Functional</t>
        </is>
      </c>
      <c r="E7" s="25" t="inlineStr">
        <is>
          <t>Transfer Value</t>
        </is>
      </c>
      <c r="F7" s="25" t="inlineStr">
        <is>
          <t>Send 0.999 (forces deep splitting)</t>
        </is>
      </c>
      <c r="G7" s="25" t="inlineStr">
        <is>
          <t>API</t>
        </is>
      </c>
      <c r="H7" s="25" t="inlineStr">
        <is>
          <t>Single</t>
        </is>
      </c>
      <c r="I7" s="25" t="inlineStr">
        <is>
          <t>Succeeds</t>
        </is>
      </c>
      <c r="J7" s="25" t="inlineStr">
        <is>
          <t>Count the splits and time taken; value adds back exactly</t>
        </is>
      </c>
      <c r="K7" s="25" t="inlineStr">
        <is>
          <t>P0</t>
        </is>
      </c>
      <c r="L7" s="25" t="inlineStr">
        <is>
          <t>core/parts/split.go:18</t>
        </is>
      </c>
      <c r="M7" s="25" t="inlineStr">
        <is>
          <t>RBT-015</t>
        </is>
      </c>
      <c r="N7" s="25" t="inlineStr">
        <is>
          <t>master</t>
        </is>
      </c>
      <c r="O7" s="25" t="n"/>
      <c r="P7" s="26" t="inlineStr">
        <is>
          <t>OK - 0.999 forces the deepest split path. Good case.</t>
        </is>
      </c>
      <c r="Q7" s="25" t="n"/>
    </row>
    <row r="8" ht="24" customHeight="1" s="14">
      <c r="A8" s="25" t="inlineStr">
        <is>
          <t>RBT-V-04</t>
        </is>
      </c>
      <c r="B8" s="25" t="inlineStr">
        <is>
          <t>RBT</t>
        </is>
      </c>
      <c r="C8" s="25" t="inlineStr">
        <is>
          <t>Code</t>
        </is>
      </c>
      <c r="D8" s="25" t="inlineStr">
        <is>
          <t>Functional</t>
        </is>
      </c>
      <c r="E8" s="25" t="inlineStr">
        <is>
          <t>Transfer Value</t>
        </is>
      </c>
      <c r="F8" s="25" t="inlineStr">
        <is>
          <t>Send 2.345 (whole plus decimals)</t>
        </is>
      </c>
      <c r="G8" s="25" t="inlineStr">
        <is>
          <t>API</t>
        </is>
      </c>
      <c r="H8" s="25" t="inlineStr">
        <is>
          <t>Single</t>
        </is>
      </c>
      <c r="I8" s="25" t="inlineStr">
        <is>
          <t>Succeeds</t>
        </is>
      </c>
      <c r="J8" s="25" t="inlineStr">
        <is>
          <t>Whole tokens used directly; only the remainder is split</t>
        </is>
      </c>
      <c r="K8" s="25" t="inlineStr">
        <is>
          <t>P0</t>
        </is>
      </c>
      <c r="L8" s="25" t="inlineStr">
        <is>
          <t>core/wallet/token_lock.go:70</t>
        </is>
      </c>
      <c r="M8" s="25" t="inlineStr">
        <is>
          <t>RBT-016</t>
        </is>
      </c>
      <c r="N8" s="25" t="inlineStr">
        <is>
          <t>master</t>
        </is>
      </c>
      <c r="O8" s="25" t="n"/>
      <c r="P8" s="26" t="inlineStr">
        <is>
          <t>OK</t>
        </is>
      </c>
      <c r="Q8" s="25" t="n"/>
    </row>
    <row r="9" ht="100.5" customHeight="1" s="14">
      <c r="A9" s="25" t="inlineStr">
        <is>
          <t>RBT-V-05</t>
        </is>
      </c>
      <c r="B9" s="25" t="inlineStr">
        <is>
          <t>RBT</t>
        </is>
      </c>
      <c r="C9" s="25" t="inlineStr">
        <is>
          <t>Code</t>
        </is>
      </c>
      <c r="D9" s="25" t="inlineStr">
        <is>
          <t>Functional</t>
        </is>
      </c>
      <c r="E9" s="25" t="inlineStr">
        <is>
          <t>Transfer Value</t>
        </is>
      </c>
      <c r="F9" s="25" t="inlineStr">
        <is>
          <t>Send 99.999 (many tokens plus deep split)</t>
        </is>
      </c>
      <c r="G9" s="25" t="inlineStr">
        <is>
          <t>API</t>
        </is>
      </c>
      <c r="H9" s="25" t="inlineStr">
        <is>
          <t>Single</t>
        </is>
      </c>
      <c r="I9" s="25" t="inlineStr">
        <is>
          <t>Succeeds</t>
        </is>
      </c>
      <c r="J9" s="25" t="inlineStr">
        <is>
          <t>Time it; compare against sending a flat 100</t>
        </is>
      </c>
      <c r="K9" s="25" t="inlineStr">
        <is>
          <t>P0</t>
        </is>
      </c>
      <c r="L9" s="25" t="n"/>
      <c r="M9" s="25" t="inlineStr">
        <is>
          <t>RBT-017</t>
        </is>
      </c>
      <c r="N9" s="25" t="inlineStr">
        <is>
          <t>master</t>
        </is>
      </c>
      <c r="O9" s="25" t="n"/>
      <c r="P9" s="26" t="inlineStr">
        <is>
          <t>OK</t>
        </is>
      </c>
      <c r="Q9" s="25" t="n"/>
    </row>
    <row r="10" ht="24" customHeight="1" s="14">
      <c r="A10" s="25" t="inlineStr">
        <is>
          <t>RBT-V-11</t>
        </is>
      </c>
      <c r="B10" s="25" t="inlineStr">
        <is>
          <t>RBT</t>
        </is>
      </c>
      <c r="C10" s="25" t="inlineStr">
        <is>
          <t>Infra</t>
        </is>
      </c>
      <c r="D10" s="25" t="inlineStr">
        <is>
          <t>Functional</t>
        </is>
      </c>
      <c r="E10" s="25" t="inlineStr">
        <is>
          <t>Transfer Value</t>
        </is>
      </c>
      <c r="F10" s="25" t="inlineStr">
        <is>
          <t>Climb the value ladder until it fails</t>
        </is>
      </c>
      <c r="G10" s="25" t="inlineStr">
        <is>
          <t>API</t>
        </is>
      </c>
      <c r="H10" s="25" t="inlineStr">
        <is>
          <t>Single</t>
        </is>
      </c>
      <c r="I10" s="25" t="inlineStr">
        <is>
          <t>Record the largest value that works</t>
        </is>
      </c>
      <c r="J10" s="25" t="inlineStr">
        <is>
          <t>Note the exact failure reason at the breaking point</t>
        </is>
      </c>
      <c r="K10" s="25" t="inlineStr">
        <is>
          <t>P0</t>
        </is>
      </c>
      <c r="L10" s="25" t="n"/>
      <c r="M10" s="25" t="inlineStr">
        <is>
          <t>RBT-023</t>
        </is>
      </c>
      <c r="N10" s="25" t="inlineStr">
        <is>
          <t>master</t>
        </is>
      </c>
      <c r="O10" s="25" t="n"/>
      <c r="P10" s="26" t="inlineStr">
        <is>
          <t>One ladder run: 100, 1000, 10000, 100000, 200000.10, climbing until it fails. Verify all of it in one run: Each rung succeeds and costs exactly its value; record the largest value that works and the quorum free balance needed for it. Repeat across the ladder itself is the repetition: 100, 1000, 10000, 100000, 200000.10, and report each assertion separately so one failure cannot hide the others. Also covers RBT-V-06, RBT-V-07, RBT-V-08, RBT-V-09, RBT-V-10.</t>
        </is>
      </c>
      <c r="Q10" s="25" t="n"/>
    </row>
    <row r="11" ht="24" customHeight="1" s="14">
      <c r="A11" s="25" t="inlineStr">
        <is>
          <t>RBT-V-12</t>
        </is>
      </c>
      <c r="B11" s="25" t="inlineStr">
        <is>
          <t>RBT</t>
        </is>
      </c>
      <c r="C11" s="25" t="inlineStr">
        <is>
          <t>Code</t>
        </is>
      </c>
      <c r="D11" s="25" t="inlineStr">
        <is>
          <t>Functional</t>
        </is>
      </c>
      <c r="E11" s="25" t="inlineStr">
        <is>
          <t>Transfer Value</t>
        </is>
      </c>
      <c r="F11" s="25" t="inlineStr">
        <is>
          <t>Send 0 RBT</t>
        </is>
      </c>
      <c r="G11" s="25" t="inlineStr">
        <is>
          <t>API</t>
        </is>
      </c>
      <c r="H11" s="25" t="inlineStr">
        <is>
          <t>Single</t>
        </is>
      </c>
      <c r="I11" s="25" t="inlineStr">
        <is>
          <t>Rejected</t>
        </is>
      </c>
      <c r="J11" s="25" t="inlineStr">
        <is>
          <t>Balance unchanged</t>
        </is>
      </c>
      <c r="K11" s="25" t="inlineStr">
        <is>
          <t>P1</t>
        </is>
      </c>
      <c r="L11" s="25" t="n"/>
      <c r="M11" s="25" t="inlineStr">
        <is>
          <t>RBT-024</t>
        </is>
      </c>
      <c r="N11" s="25" t="inlineStr">
        <is>
          <t>master</t>
        </is>
      </c>
      <c r="O11" s="25" t="n"/>
      <c r="P11" s="26" t="inlineStr">
        <is>
          <t>OK - rejected: RBT==0 with no FT and no SC is refused (core/transaction_builder.go:424-426).</t>
        </is>
      </c>
      <c r="Q11" s="25" t="n"/>
    </row>
    <row r="12" ht="24" customHeight="1" s="14">
      <c r="A12" s="25" t="inlineStr">
        <is>
          <t>RBT-V-15</t>
        </is>
      </c>
      <c r="B12" s="25" t="inlineStr">
        <is>
          <t>RBT</t>
        </is>
      </c>
      <c r="C12" s="25" t="inlineStr">
        <is>
          <t>Code</t>
        </is>
      </c>
      <c r="D12" s="25" t="inlineStr">
        <is>
          <t>Functional</t>
        </is>
      </c>
      <c r="E12" s="25" t="inlineStr">
        <is>
          <t>Transfer Value</t>
        </is>
      </c>
      <c r="F12" s="25" t="inlineStr">
        <is>
          <t>Send the entire balance exactly</t>
        </is>
      </c>
      <c r="G12" s="25" t="inlineStr">
        <is>
          <t>API</t>
        </is>
      </c>
      <c r="H12" s="25" t="inlineStr">
        <is>
          <t>Single</t>
        </is>
      </c>
      <c r="I12" s="25" t="inlineStr">
        <is>
          <t>Succeeds</t>
        </is>
      </c>
      <c r="J12" s="25" t="inlineStr">
        <is>
          <t>Sender balance lands on exactly 0.000; no dust left</t>
        </is>
      </c>
      <c r="K12" s="25" t="inlineStr">
        <is>
          <t>P0</t>
        </is>
      </c>
      <c r="L12" s="25" t="n"/>
      <c r="M12" s="25" t="inlineStr">
        <is>
          <t>RBT-027</t>
        </is>
      </c>
      <c r="N12" s="25" t="inlineStr">
        <is>
          <t>master</t>
        </is>
      </c>
      <c r="O12" s="25" t="n"/>
      <c r="P12" s="26" t="inlineStr">
        <is>
          <t>Send the exact balance, then one unit more. Verify all of it in one run: Exact balance succeeds and leaves free at 0; one unit more is rejected and nothing is locked. Repeat across three wallet shapes - whole tokens only, parts only, mixed, and report each assertion separately so one failure cannot hide the others. Also covers RBT-V-16. Build the wallet this case needs before starting - never skip on shape. See 'Wallet preparation' in the Legend.</t>
        </is>
      </c>
      <c r="Q12" s="25" t="n"/>
    </row>
    <row r="13" ht="24" customHeight="1" s="14">
      <c r="A13" s="25" t="inlineStr">
        <is>
          <t>RBT-V-17</t>
        </is>
      </c>
      <c r="B13" s="25" t="inlineStr">
        <is>
          <t>RBT</t>
        </is>
      </c>
      <c r="C13" s="25" t="inlineStr">
        <is>
          <t>Code</t>
        </is>
      </c>
      <c r="D13" s="25" t="inlineStr">
        <is>
          <t>Functional</t>
        </is>
      </c>
      <c r="E13" s="25" t="inlineStr">
        <is>
          <t>Transfer Value</t>
        </is>
      </c>
      <c r="F13" s="25" t="inlineStr">
        <is>
          <t>Send an amount the client computed rather than typed, such as 0.1+0.2 or a summed 1.021</t>
        </is>
      </c>
      <c r="G13" s="25" t="inlineStr">
        <is>
          <t>API</t>
        </is>
      </c>
      <c r="H13" s="25" t="inlineStr">
        <is>
          <t>Single</t>
        </is>
      </c>
      <c r="I13" s="25" t="inlineStr">
        <is>
          <t>Accepted - the caller sent a legal 3dp value</t>
        </is>
      </c>
      <c r="J13" s="25" t="n"/>
      <c r="K13" s="25" t="inlineStr">
        <is>
          <t>P0</t>
        </is>
      </c>
      <c r="L13" s="25" t="inlineStr">
        <is>
          <t>core/parts/parts.go:54-58</t>
        </is>
      </c>
      <c r="M13" s="25" t="n"/>
      <c r="N13" s="25" t="n"/>
      <c r="O13" s="25" t="n"/>
      <c r="P13" s="26" t="inlineStr">
        <is>
          <t>The 3dp guard reads strconv.FormatFloat(amount,'f',-1,64), so 0.30000000000000004 is refused although 0.3 is legal. Send the value as a client would compute it, not as a literal. Repeat with several sums that do not round-trip exactly.</t>
        </is>
      </c>
      <c r="Q13" s="25" t="n"/>
    </row>
    <row r="14" ht="24" customHeight="1" s="14">
      <c r="A14" s="25" t="inlineStr">
        <is>
          <t>RBT-P-01</t>
        </is>
      </c>
      <c r="B14" s="25" t="inlineStr">
        <is>
          <t>RBT</t>
        </is>
      </c>
      <c r="C14" s="25" t="inlineStr">
        <is>
          <t>Code</t>
        </is>
      </c>
      <c r="D14" s="25" t="inlineStr">
        <is>
          <t>Functional</t>
        </is>
      </c>
      <c r="E14" s="25" t="inlineStr">
        <is>
          <t>Precision</t>
        </is>
      </c>
      <c r="F14" s="25" t="inlineStr">
        <is>
          <t>Send amounts with 1 2 and 3 decimal places</t>
        </is>
      </c>
      <c r="G14" s="25" t="inlineStr">
        <is>
          <t>API</t>
        </is>
      </c>
      <c r="H14" s="25" t="inlineStr">
        <is>
          <t>Single</t>
        </is>
      </c>
      <c r="I14" s="25" t="inlineStr">
        <is>
          <t>All succeed</t>
        </is>
      </c>
      <c r="J14" s="25" t="inlineStr">
        <is>
          <t>Values exact each time; no rounding loss</t>
        </is>
      </c>
      <c r="K14" s="25" t="inlineStr">
        <is>
          <t>P0</t>
        </is>
      </c>
      <c r="L14" s="25" t="inlineStr">
        <is>
          <t>math/math.go:16</t>
        </is>
      </c>
      <c r="M14" s="25" t="inlineStr">
        <is>
          <t>RBT-029</t>
        </is>
      </c>
      <c r="N14" s="25" t="inlineStr">
        <is>
          <t>master</t>
        </is>
      </c>
      <c r="O14" s="25" t="n"/>
      <c r="P14" s="26" t="inlineStr">
        <is>
          <t>Send 1, 2 and 3 decimal places, including a repeated 0.333. Verify all of it in one run: All succeed and the denomination counter agrees with real free tokens afterwards. Repeat across 0.1, 0.05, 0.007, 0.333 repeated three times, and 0.999, and report each assertion separately so one failure cannot hide the others. Also covers RBT-P-05. Build the wallet this case needs before starting - never skip on shape. See 'Wallet preparation' in the Legend.</t>
        </is>
      </c>
      <c r="Q14" s="25" t="n"/>
    </row>
    <row r="15" ht="24" customHeight="1" s="14">
      <c r="A15" s="25" t="inlineStr">
        <is>
          <t>RBT-P-04</t>
        </is>
      </c>
      <c r="B15" s="25" t="inlineStr">
        <is>
          <t>RBT</t>
        </is>
      </c>
      <c r="C15" s="25" t="inlineStr">
        <is>
          <t>Code</t>
        </is>
      </c>
      <c r="D15" s="25" t="inlineStr">
        <is>
          <t>Functional</t>
        </is>
      </c>
      <c r="E15" s="25" t="inlineStr">
        <is>
          <t>Precision</t>
        </is>
      </c>
      <c r="F15" s="25" t="inlineStr">
        <is>
          <t>Send 0.001 repeatedly 1000 times</t>
        </is>
      </c>
      <c r="G15" s="25" t="inlineStr">
        <is>
          <t>API</t>
        </is>
      </c>
      <c r="H15" s="25" t="inlineStr">
        <is>
          <t>Single</t>
        </is>
      </c>
      <c r="I15" s="25" t="inlineStr">
        <is>
          <t>All succeed</t>
        </is>
      </c>
      <c r="J15" s="25" t="inlineStr">
        <is>
          <t>Total moved is exactly 1.000 with no drift</t>
        </is>
      </c>
      <c r="K15" s="25" t="inlineStr">
        <is>
          <t>P0</t>
        </is>
      </c>
      <c r="L15" s="25" t="inlineStr">
        <is>
          <t>math/math.go:16</t>
        </is>
      </c>
      <c r="M15" s="25" t="inlineStr">
        <is>
          <t>RBT-032</t>
        </is>
      </c>
      <c r="N15" s="25" t="inlineStr">
        <is>
          <t>master</t>
        </is>
      </c>
      <c r="O15" s="25" t="n"/>
      <c r="P15" s="26" t="inlineStr">
        <is>
          <t>OK - 1000 sequential 0.001 sends. Slow; assert drift at the end, not per send.</t>
        </is>
      </c>
      <c r="Q15" s="25" t="n"/>
    </row>
    <row r="16" ht="24" customHeight="1" s="14">
      <c r="A16" s="25" t="inlineStr">
        <is>
          <t>RBT-W-01</t>
        </is>
      </c>
      <c r="B16" s="25" t="inlineStr">
        <is>
          <t>RBT</t>
        </is>
      </c>
      <c r="C16" s="25" t="inlineStr">
        <is>
          <t>Code</t>
        </is>
      </c>
      <c r="D16" s="25" t="inlineStr">
        <is>
          <t>Functional</t>
        </is>
      </c>
      <c r="E16" s="25" t="inlineStr">
        <is>
          <t>Wallet Shape</t>
        </is>
      </c>
      <c r="F16" s="25" t="inlineStr">
        <is>
          <t>Send 100 from a wallet holding one hundred 1.0 tokens</t>
        </is>
      </c>
      <c r="G16" s="25" t="inlineStr">
        <is>
          <t>API</t>
        </is>
      </c>
      <c r="H16" s="25" t="inlineStr">
        <is>
          <t>Single</t>
        </is>
      </c>
      <c r="I16" s="25" t="inlineStr">
        <is>
          <t>Succeeds with no splitting</t>
        </is>
      </c>
      <c r="J16" s="25" t="inlineStr">
        <is>
          <t>Time it as the baseline for comparison</t>
        </is>
      </c>
      <c r="K16" s="25" t="inlineStr">
        <is>
          <t>P0</t>
        </is>
      </c>
      <c r="L16" s="25" t="inlineStr">
        <is>
          <t>core/wallet/token_lock.go:70</t>
        </is>
      </c>
      <c r="M16" s="25" t="inlineStr">
        <is>
          <t>RBT-034</t>
        </is>
      </c>
      <c r="N16" s="25" t="inlineStr">
        <is>
          <t>master</t>
        </is>
      </c>
      <c r="O16" s="25" t="n"/>
      <c r="P16" s="26" t="inlineStr">
        <is>
          <t>OK - wallet-shape cases are valuable; they change which selection pass runs (core/wallet/token_lock.go). Build the wallet this case needs before starting - never skip on shape. See 'Wallet preparation' in the Legend.</t>
        </is>
      </c>
      <c r="Q16" s="25" t="n"/>
    </row>
    <row r="17" ht="24" customHeight="1" s="14">
      <c r="A17" s="25" t="inlineStr">
        <is>
          <t>RBT-W-02</t>
        </is>
      </c>
      <c r="B17" s="25" t="inlineStr">
        <is>
          <t>RBT</t>
        </is>
      </c>
      <c r="C17" s="25" t="inlineStr">
        <is>
          <t>Code</t>
        </is>
      </c>
      <c r="D17" s="25" t="inlineStr">
        <is>
          <t>Functional</t>
        </is>
      </c>
      <c r="E17" s="25" t="inlineStr">
        <is>
          <t>Wallet Shape</t>
        </is>
      </c>
      <c r="F17" s="25" t="inlineStr">
        <is>
          <t>Send 100 from a wallet holding one 1000 token</t>
        </is>
      </c>
      <c r="G17" s="25" t="inlineStr">
        <is>
          <t>API</t>
        </is>
      </c>
      <c r="H17" s="25" t="inlineStr">
        <is>
          <t>Single</t>
        </is>
      </c>
      <c r="I17" s="25" t="inlineStr">
        <is>
          <t>Succeeds by splitting</t>
        </is>
      </c>
      <c r="J17" s="25" t="inlineStr">
        <is>
          <t>Much slower than RBT-W-01; record the difference</t>
        </is>
      </c>
      <c r="K17" s="25" t="inlineStr">
        <is>
          <t>P0</t>
        </is>
      </c>
      <c r="L17" s="25" t="inlineStr">
        <is>
          <t>core/wallet/token_lock.go:36</t>
        </is>
      </c>
      <c r="M17" s="25" t="inlineStr">
        <is>
          <t>RBT-035</t>
        </is>
      </c>
      <c r="N17" s="25" t="inlineStr">
        <is>
          <t>master</t>
        </is>
      </c>
      <c r="O17" s="25" t="n"/>
      <c r="P17" s="26" t="inlineStr">
        <is>
          <t>OK - forces the split path from one large token. Build the wallet this case needs before starting - never skip on shape. See 'Wallet preparation' in the Legend.</t>
        </is>
      </c>
      <c r="Q17" s="25" t="n"/>
    </row>
    <row r="18" ht="24" customHeight="1" s="14">
      <c r="A18" s="25" t="inlineStr">
        <is>
          <t>RBT-W-03</t>
        </is>
      </c>
      <c r="B18" s="25" t="inlineStr">
        <is>
          <t>RBT</t>
        </is>
      </c>
      <c r="C18" s="25" t="inlineStr">
        <is>
          <t>Code</t>
        </is>
      </c>
      <c r="D18" s="25" t="inlineStr">
        <is>
          <t>Functional</t>
        </is>
      </c>
      <c r="E18" s="25" t="inlineStr">
        <is>
          <t>Wallet Shape</t>
        </is>
      </c>
      <c r="F18" s="25" t="inlineStr">
        <is>
          <t>Send 100 from a wallet holding thousands of tiny tokens</t>
        </is>
      </c>
      <c r="G18" s="25" t="inlineStr">
        <is>
          <t>API</t>
        </is>
      </c>
      <c r="H18" s="25" t="inlineStr">
        <is>
          <t>Single</t>
        </is>
      </c>
      <c r="I18" s="25" t="inlineStr">
        <is>
          <t>Succeeds</t>
        </is>
      </c>
      <c r="J18" s="25" t="inlineStr">
        <is>
          <t>Record how long picking the tokens takes</t>
        </is>
      </c>
      <c r="K18" s="25" t="inlineStr">
        <is>
          <t>P0</t>
        </is>
      </c>
      <c r="L18" s="25" t="inlineStr">
        <is>
          <t>core/wallet/token_lock.go:40</t>
        </is>
      </c>
      <c r="M18" s="25" t="inlineStr">
        <is>
          <t>RBT-036</t>
        </is>
      </c>
      <c r="N18" s="25" t="inlineStr">
        <is>
          <t>master</t>
        </is>
      </c>
      <c r="O18" s="25" t="n"/>
      <c r="P18" s="26" t="inlineStr">
        <is>
          <t>OK Build the wallet this case needs before starting - never skip on shape. See 'Wallet preparation' in the Legend.</t>
        </is>
      </c>
      <c r="Q18" s="25" t="n"/>
    </row>
    <row r="19" ht="15" customHeight="1" s="14">
      <c r="A19" s="25" t="inlineStr">
        <is>
          <t>RBT-W-04</t>
        </is>
      </c>
      <c r="B19" s="25" t="inlineStr">
        <is>
          <t>RBT</t>
        </is>
      </c>
      <c r="C19" s="25" t="inlineStr">
        <is>
          <t>Code</t>
        </is>
      </c>
      <c r="D19" s="25" t="inlineStr">
        <is>
          <t>Functional</t>
        </is>
      </c>
      <c r="E19" s="25" t="inlineStr">
        <is>
          <t>Wallet Shape</t>
        </is>
      </c>
      <c r="F19" s="25" t="inlineStr">
        <is>
          <t>Send from a wallet holding 10000 plus tokens</t>
        </is>
      </c>
      <c r="G19" s="25" t="inlineStr">
        <is>
          <t>API</t>
        </is>
      </c>
      <c r="H19" s="25" t="inlineStr">
        <is>
          <t>Single</t>
        </is>
      </c>
      <c r="I19" s="25" t="inlineStr">
        <is>
          <t>Succeeds or times out</t>
        </is>
      </c>
      <c r="J19" s="25" t="inlineStr">
        <is>
          <t>Find the wallet size where transfers become too slow</t>
        </is>
      </c>
      <c r="K19" s="25" t="inlineStr">
        <is>
          <t>P0</t>
        </is>
      </c>
      <c r="L19" s="25" t="inlineStr">
        <is>
          <t>core/wallet/token_lock.go:40</t>
        </is>
      </c>
      <c r="M19" s="25" t="inlineStr">
        <is>
          <t>RBT-037</t>
        </is>
      </c>
      <c r="N19" s="25" t="inlineStr">
        <is>
          <t>master</t>
        </is>
      </c>
      <c r="O19" s="25" t="n"/>
      <c r="P19" s="26" t="inlineStr">
        <is>
          <t>OK (record-only) - large wallet; time it. Build the wallet this case needs before starting - never skip on shape. See 'Wallet preparation' in the Legend.</t>
        </is>
      </c>
      <c r="Q19" s="25" t="n"/>
    </row>
    <row r="20" ht="24" customHeight="1" s="14">
      <c r="A20" s="25" t="inlineStr">
        <is>
          <t>RBT-W-05</t>
        </is>
      </c>
      <c r="B20" s="25" t="inlineStr">
        <is>
          <t>RBT</t>
        </is>
      </c>
      <c r="C20" s="25" t="inlineStr">
        <is>
          <t>Code</t>
        </is>
      </c>
      <c r="D20" s="25" t="inlineStr">
        <is>
          <t>Functional</t>
        </is>
      </c>
      <c r="E20" s="25" t="inlineStr">
        <is>
          <t>Wallet Shape</t>
        </is>
      </c>
      <c r="F20" s="25" t="inlineStr">
        <is>
          <t>Send an amount that exactly matches one token held</t>
        </is>
      </c>
      <c r="G20" s="25" t="inlineStr">
        <is>
          <t>API</t>
        </is>
      </c>
      <c r="H20" s="25" t="inlineStr">
        <is>
          <t>Single</t>
        </is>
      </c>
      <c r="I20" s="25" t="inlineStr">
        <is>
          <t>Succeeds using just that token</t>
        </is>
      </c>
      <c r="J20" s="25" t="inlineStr">
        <is>
          <t>No split; no burn; fastest path</t>
        </is>
      </c>
      <c r="K20" s="25" t="inlineStr">
        <is>
          <t>P1</t>
        </is>
      </c>
      <c r="L20" s="25" t="inlineStr">
        <is>
          <t>core/wallet/token_lock.go:63</t>
        </is>
      </c>
      <c r="M20" s="25" t="inlineStr">
        <is>
          <t>RBT-039</t>
        </is>
      </c>
      <c r="N20" s="25" t="inlineStr">
        <is>
          <t>master</t>
        </is>
      </c>
      <c r="O20" s="25" t="n"/>
      <c r="P20" s="26" t="inlineStr">
        <is>
          <t>Four sends from ONE prepared wallet, one per token-selection pass. Verify all of it in one run: Exact single token, exact combination, several wholes combined, and no exact match: each succeeds and the note records which pass ran and whether a split occurred. Repeat across four sends on the prepared wallet, one per selection pass, and report each assertion separately so one failure cannot hide the others. Also covers RBT-W-06, RBT-W-07, RBT-W-08. Build the wallet this case needs before starting - never skip on shape. See 'Wallet preparation' in the Legend.</t>
        </is>
      </c>
      <c r="Q20" s="25" t="n"/>
    </row>
    <row r="21" ht="24" customHeight="1" s="14">
      <c r="A21" s="25" t="inlineStr">
        <is>
          <t>RBT-W-09</t>
        </is>
      </c>
      <c r="B21" s="25" t="inlineStr">
        <is>
          <t>RBT</t>
        </is>
      </c>
      <c r="C21" s="25" t="inlineStr">
        <is>
          <t>Code</t>
        </is>
      </c>
      <c r="D21" s="25" t="inlineStr">
        <is>
          <t>Performance</t>
        </is>
      </c>
      <c r="E21" s="25" t="inlineStr">
        <is>
          <t>Wallet Shape</t>
        </is>
      </c>
      <c r="F21" s="25" t="inlineStr">
        <is>
          <t>Send from a wallet holding 50000 plus tokens</t>
        </is>
      </c>
      <c r="G21" s="25" t="inlineStr">
        <is>
          <t>API</t>
        </is>
      </c>
      <c r="H21" s="25" t="inlineStr">
        <is>
          <t>Single</t>
        </is>
      </c>
      <c r="I21" s="25" t="inlineStr">
        <is>
          <t>Succeeds or times out - record which and how long</t>
        </is>
      </c>
      <c r="J21" s="25" t="inlineStr">
        <is>
          <t>Transfer time vs RBT-W-04 (10000 plus tokens); no tokens left Locked</t>
        </is>
      </c>
      <c r="K21" s="25" t="inlineStr">
        <is>
          <t>P2</t>
        </is>
      </c>
      <c r="L21" s="25" t="inlineStr">
        <is>
          <t>core/wallet/token_lock.go:36 selectTokensForAmount</t>
        </is>
      </c>
      <c r="M21" s="25" t="inlineStr">
        <is>
          <t>RBT-038</t>
        </is>
      </c>
      <c r="N21" s="25" t="inlineStr">
        <is>
          <t>master</t>
        </is>
      </c>
      <c r="O21" s="25" t="n"/>
      <c r="P21" s="26" t="inlineStr">
        <is>
          <t>OK (record-only) - 50k-token wallet. Funding cost is the limit, not the product. Build the wallet this case needs before starting - never skip on shape. See 'Wallet preparation' in the Legend.</t>
        </is>
      </c>
      <c r="Q21" s="25" t="n"/>
    </row>
    <row r="22" ht="24" customHeight="1" s="14">
      <c r="A22" s="25" t="inlineStr">
        <is>
          <t>RBT-S-01</t>
        </is>
      </c>
      <c r="B22" s="25" t="inlineStr">
        <is>
          <t>RBT</t>
        </is>
      </c>
      <c r="C22" s="25" t="inlineStr">
        <is>
          <t>Code</t>
        </is>
      </c>
      <c r="D22" s="25" t="inlineStr">
        <is>
          <t>Functional</t>
        </is>
      </c>
      <c r="E22" s="25" t="inlineStr">
        <is>
          <t>Split</t>
        </is>
      </c>
      <c r="F22" s="25" t="inlineStr">
        <is>
          <t>Send 0.7 when the wallet holds only a 1.0 token</t>
        </is>
      </c>
      <c r="G22" s="25" t="inlineStr">
        <is>
          <t>API</t>
        </is>
      </c>
      <c r="H22" s="25" t="inlineStr">
        <is>
          <t>Single</t>
        </is>
      </c>
      <c r="I22" s="25" t="inlineStr">
        <is>
          <t>Succeeds by splitting</t>
        </is>
      </c>
      <c r="J22" s="25" t="inlineStr">
        <is>
          <t>Parent burnt; 0.7 sent; 0.3 kept; adds back to 1.0</t>
        </is>
      </c>
      <c r="K22" s="25" t="inlineStr">
        <is>
          <t>P0</t>
        </is>
      </c>
      <c r="L22" s="25" t="inlineStr">
        <is>
          <t>core/wallet/token_lock.go:36</t>
        </is>
      </c>
      <c r="M22" s="25" t="inlineStr">
        <is>
          <t>RBT-041</t>
        </is>
      </c>
      <c r="N22" s="25" t="inlineStr">
        <is>
          <t>master</t>
        </is>
      </c>
      <c r="O22" s="25" t="n"/>
      <c r="P22" s="26" t="inlineStr">
        <is>
          <t>OK Build the wallet this case needs before starting - never skip on shape. See 'Wallet preparation' in the Legend.</t>
        </is>
      </c>
      <c r="Q22" s="25" t="n"/>
    </row>
    <row r="23" ht="34.5" customHeight="1" s="14">
      <c r="A23" s="25" t="inlineStr">
        <is>
          <t>RBT-S-02</t>
        </is>
      </c>
      <c r="B23" s="25" t="inlineStr">
        <is>
          <t>RBT</t>
        </is>
      </c>
      <c r="C23" s="25" t="inlineStr">
        <is>
          <t>Code</t>
        </is>
      </c>
      <c r="D23" s="25" t="inlineStr">
        <is>
          <t>Functional</t>
        </is>
      </c>
      <c r="E23" s="25" t="inlineStr">
        <is>
          <t>Split</t>
        </is>
      </c>
      <c r="F23" s="25" t="inlineStr">
        <is>
          <t>Split a token that was already split before</t>
        </is>
      </c>
      <c r="G23" s="25" t="inlineStr">
        <is>
          <t>API</t>
        </is>
      </c>
      <c r="H23" s="25" t="inlineStr">
        <is>
          <t>Single</t>
        </is>
      </c>
      <c r="I23" s="25" t="inlineStr">
        <is>
          <t>KNOWN ISSUE - expect duplicate key failure</t>
        </is>
      </c>
      <c r="J23" s="25" t="inlineStr">
        <is>
          <t>Tag separately; do not count as a new bug</t>
        </is>
      </c>
      <c r="K23" s="25" t="inlineStr">
        <is>
          <t>P1</t>
        </is>
      </c>
      <c r="L23" s="25" t="inlineStr">
        <is>
          <t>core/wallet/persist_genesis_tx.go</t>
        </is>
      </c>
      <c r="M23" s="25" t="inlineStr">
        <is>
          <t>RBT-042</t>
        </is>
      </c>
      <c r="N23" s="25" t="inlineStr">
        <is>
          <t>master</t>
        </is>
      </c>
      <c r="O23" s="25" t="n"/>
      <c r="P23" s="26" t="inlineStr">
        <is>
          <t>VERIFY FIRST - the 'duplicate key on re-split' expectation predates the collateral work. Confirm against the current branch before keeping it; a different failure here is a new finding.</t>
        </is>
      </c>
      <c r="Q23" s="25" t="inlineStr">
        <is>
          <t>In this new testnet faucet it should work fine. Same token should not split multiple times</t>
        </is>
      </c>
    </row>
    <row r="24" ht="24" customHeight="1" s="14">
      <c r="A24" s="25" t="inlineStr">
        <is>
          <t>RBT-S-03</t>
        </is>
      </c>
      <c r="B24" s="25" t="inlineStr">
        <is>
          <t>RBT</t>
        </is>
      </c>
      <c r="C24" s="25" t="inlineStr">
        <is>
          <t>Code</t>
        </is>
      </c>
      <c r="D24" s="25" t="inlineStr">
        <is>
          <t>Functional</t>
        </is>
      </c>
      <c r="E24" s="25" t="inlineStr">
        <is>
          <t>Split</t>
        </is>
      </c>
      <c r="F24" s="25" t="inlineStr">
        <is>
          <t>Split down to the smallest possible value</t>
        </is>
      </c>
      <c r="G24" s="25" t="inlineStr">
        <is>
          <t>API</t>
        </is>
      </c>
      <c r="H24" s="25" t="inlineStr">
        <is>
          <t>Single</t>
        </is>
      </c>
      <c r="I24" s="25" t="inlineStr">
        <is>
          <t>Succeeds or gives a clear level limit error</t>
        </is>
      </c>
      <c r="J24" s="25" t="inlineStr">
        <is>
          <t>No partial state left behind</t>
        </is>
      </c>
      <c r="K24" s="25" t="inlineStr">
        <is>
          <t>P1</t>
        </is>
      </c>
      <c r="L24" s="25" t="inlineStr">
        <is>
          <t>core/parts/split.go:34</t>
        </is>
      </c>
      <c r="M24" s="25" t="inlineStr">
        <is>
          <t>RBT-043</t>
        </is>
      </c>
      <c r="N24" s="25" t="inlineStr">
        <is>
          <t>master</t>
        </is>
      </c>
      <c r="O24" s="25" t="n"/>
      <c r="P24" s="26" t="inlineStr">
        <is>
          <t>OK - the parts tree is 6 levels (2 x 3 decimal places) with max part index 1332 (core/parts/parts.go:254-269). Assert the limit error names the level. Build the wallet this case needs before starting - never skip on shape. See 'Wallet preparation' in the Legend.</t>
        </is>
      </c>
      <c r="Q24" s="25" t="n"/>
    </row>
    <row r="25" ht="24" customHeight="1" s="14">
      <c r="A25" s="25" t="inlineStr">
        <is>
          <t>RBT-S-04</t>
        </is>
      </c>
      <c r="B25" s="25" t="inlineStr">
        <is>
          <t>RBT</t>
        </is>
      </c>
      <c r="C25" s="25" t="inlineStr">
        <is>
          <t>Code</t>
        </is>
      </c>
      <c r="D25" s="25" t="inlineStr">
        <is>
          <t>Functional</t>
        </is>
      </c>
      <c r="E25" s="25" t="inlineStr">
        <is>
          <t>Split</t>
        </is>
      </c>
      <c r="F25" s="25" t="inlineStr">
        <is>
          <t>Do many splits one after another on the same wallet</t>
        </is>
      </c>
      <c r="G25" s="25" t="inlineStr">
        <is>
          <t>API</t>
        </is>
      </c>
      <c r="H25" s="25" t="inlineStr">
        <is>
          <t>Single</t>
        </is>
      </c>
      <c r="I25" s="25" t="inlineStr">
        <is>
          <t>All succeed</t>
        </is>
      </c>
      <c r="J25" s="25" t="inlineStr">
        <is>
          <t>Time per split as the wallet fills with small tokens</t>
        </is>
      </c>
      <c r="K25" s="25" t="inlineStr">
        <is>
          <t>P0</t>
        </is>
      </c>
      <c r="L25" s="25" t="n"/>
      <c r="M25" s="25" t="inlineStr">
        <is>
          <t>RBT-045</t>
        </is>
      </c>
      <c r="N25" s="25" t="inlineStr">
        <is>
          <t>master</t>
        </is>
      </c>
      <c r="O25" s="25" t="n"/>
      <c r="P25" s="26" t="inlineStr">
        <is>
          <t>OK</t>
        </is>
      </c>
      <c r="Q25" s="25" t="n"/>
    </row>
    <row r="26" ht="24" customHeight="1" s="14">
      <c r="A26" s="25" t="inlineStr">
        <is>
          <t>RBT-S-05</t>
        </is>
      </c>
      <c r="B26" s="25" t="inlineStr">
        <is>
          <t>RBT</t>
        </is>
      </c>
      <c r="C26" s="25" t="inlineStr">
        <is>
          <t>Code</t>
        </is>
      </c>
      <c r="D26" s="25" t="inlineStr">
        <is>
          <t>Functional</t>
        </is>
      </c>
      <c r="E26" s="25" t="inlineStr">
        <is>
          <t>Split</t>
        </is>
      </c>
      <c r="F26" s="25" t="inlineStr">
        <is>
          <t>Send a value needing splits at several levels at once</t>
        </is>
      </c>
      <c r="G26" s="25" t="inlineStr">
        <is>
          <t>API</t>
        </is>
      </c>
      <c r="H26" s="25" t="inlineStr">
        <is>
          <t>Single</t>
        </is>
      </c>
      <c r="I26" s="25" t="inlineStr">
        <is>
          <t>Succeeds</t>
        </is>
      </c>
      <c r="J26" s="25" t="inlineStr">
        <is>
          <t>Count IPFS writes and time; value exact</t>
        </is>
      </c>
      <c r="K26" s="25" t="inlineStr">
        <is>
          <t>P0</t>
        </is>
      </c>
      <c r="L26" s="25" t="inlineStr">
        <is>
          <t>core/parts/split.go:18</t>
        </is>
      </c>
      <c r="M26" s="25" t="inlineStr">
        <is>
          <t>RBT-044</t>
        </is>
      </c>
      <c r="N26" s="25" t="inlineStr">
        <is>
          <t>master</t>
        </is>
      </c>
      <c r="O26" s="25" t="n"/>
      <c r="P26" s="26" t="inlineStr">
        <is>
          <t>OK Build the wallet this case needs before starting - never skip on shape. See 'Wallet preparation' in the Legend.</t>
        </is>
      </c>
      <c r="Q26" s="25" t="n"/>
    </row>
    <row r="27" ht="24" customHeight="1" s="14">
      <c r="A27" s="25" t="inlineStr">
        <is>
          <t>RBT-S-06</t>
        </is>
      </c>
      <c r="B27" s="25" t="inlineStr">
        <is>
          <t>RBT</t>
        </is>
      </c>
      <c r="C27" s="25" t="inlineStr">
        <is>
          <t>Code</t>
        </is>
      </c>
      <c r="D27" s="25" t="inlineStr">
        <is>
          <t>Functional</t>
        </is>
      </c>
      <c r="E27" s="25" t="inlineStr">
        <is>
          <t>Split</t>
        </is>
      </c>
      <c r="F27" s="25" t="inlineStr">
        <is>
          <t>Send values that drive the parts tree to its deepest level, then one step beyond</t>
        </is>
      </c>
      <c r="G27" s="25" t="inlineStr">
        <is>
          <t>API</t>
        </is>
      </c>
      <c r="H27" s="25" t="inlineStr">
        <is>
          <t>Single</t>
        </is>
      </c>
      <c r="I27" s="25" t="inlineStr">
        <is>
          <t>Succeeds to the limit, then a clear level error</t>
        </is>
      </c>
      <c r="J27" s="25" t="n"/>
      <c r="K27" s="25" t="inlineStr">
        <is>
          <t>P0</t>
        </is>
      </c>
      <c r="L27" s="25" t="inlineStr">
        <is>
          <t>core/parts/parts.go:254-269</t>
        </is>
      </c>
      <c r="M27" s="25" t="n"/>
      <c r="N27" s="25" t="n"/>
      <c r="O27" s="25" t="n"/>
      <c r="P27" s="26" t="inlineStr">
        <is>
          <t>The tree is 6 levels with a maximum part index of 1332. Walk down to 0.001 and then attempt to go further. Build the wallet this case needs before starting - never skip on shape. See 'Wallet preparation' in the Legend.</t>
        </is>
      </c>
      <c r="Q27" s="25" t="n"/>
    </row>
    <row r="28" ht="24" customHeight="1" s="14">
      <c r="A28" s="25" t="inlineStr">
        <is>
          <t>RBT-Q-07</t>
        </is>
      </c>
      <c r="B28" s="25" t="inlineStr">
        <is>
          <t>RBT</t>
        </is>
      </c>
      <c r="C28" s="25" t="inlineStr">
        <is>
          <t>Code</t>
        </is>
      </c>
      <c r="D28" s="25" t="inlineStr">
        <is>
          <t>Functional</t>
        </is>
      </c>
      <c r="E28" s="25" t="inlineStr">
        <is>
          <t>Quorum Capacity</t>
        </is>
      </c>
      <c r="F28" s="25" t="inlineStr">
        <is>
          <t>Climb the node count until time or pass rate degrades</t>
        </is>
      </c>
      <c r="G28" s="25" t="inlineStr">
        <is>
          <t>API-RACE</t>
        </is>
      </c>
      <c r="H28" s="25" t="inlineStr">
        <is>
          <t>Single</t>
        </is>
      </c>
      <c r="I28" s="25" t="inlineStr">
        <is>
          <t>Record the node limit for one quorum</t>
        </is>
      </c>
      <c r="J28" s="25" t="inlineStr">
        <is>
          <t>This is the headline number - nodes per quorum</t>
        </is>
      </c>
      <c r="K28" s="25" t="inlineStr">
        <is>
          <t>P0</t>
        </is>
      </c>
      <c r="L28" s="25" t="n"/>
      <c r="M28" s="25" t="inlineStr">
        <is>
          <t>RBT-052</t>
        </is>
      </c>
      <c r="N28" s="25" t="inlineStr">
        <is>
          <t>master</t>
        </is>
      </c>
      <c r="O28" s="25" t="n"/>
      <c r="P28" s="26" t="inlineStr">
        <is>
          <t>One ladder: 2, 5, 10, 20 then 40 senders sharing one quorum. Verify all of it in one run: Record pass rate and time at each step; the node ceiling for one quorum is the output. Repeat across 2, 5, 10, 20, 40 senders, and report each assertion separately so one failure cannot hide the others. Also covers RBT-Q-02, RBT-Q-03, RBT-Q-04, RBT-Q-05, RBT-Q-06.</t>
        </is>
      </c>
      <c r="Q28" s="25" t="n"/>
    </row>
    <row r="29" ht="24" customHeight="1" s="14">
      <c r="A29" s="25" t="inlineStr">
        <is>
          <t>RBT-Q-10</t>
        </is>
      </c>
      <c r="B29" s="25" t="inlineStr">
        <is>
          <t>RBT</t>
        </is>
      </c>
      <c r="C29" s="25" t="inlineStr">
        <is>
          <t>Code</t>
        </is>
      </c>
      <c r="D29" s="25" t="inlineStr">
        <is>
          <t>Functional</t>
        </is>
      </c>
      <c r="E29" s="25" t="inlineStr">
        <is>
          <t>Quorum Capacity</t>
        </is>
      </c>
      <c r="F29" s="25" t="inlineStr">
        <is>
          <t>Same 40 nodes split across 10 quorums</t>
        </is>
      </c>
      <c r="G29" s="25" t="inlineStr">
        <is>
          <t>API-RACE</t>
        </is>
      </c>
      <c r="H29" s="25" t="inlineStr">
        <is>
          <t>Multi</t>
        </is>
      </c>
      <c r="I29" s="25" t="inlineStr">
        <is>
          <t>All succeed</t>
        </is>
      </c>
      <c r="J29" s="25" t="inlineStr">
        <is>
          <t>Find where extra quorums stop reducing time</t>
        </is>
      </c>
      <c r="K29" s="25" t="inlineStr">
        <is>
          <t>P0</t>
        </is>
      </c>
      <c r="L29" s="25" t="n"/>
      <c r="M29" s="25" t="inlineStr">
        <is>
          <t>RBT-055</t>
        </is>
      </c>
      <c r="N29" s="25" t="inlineStr">
        <is>
          <t>master</t>
        </is>
      </c>
      <c r="O29" s="25" t="n"/>
      <c r="P29" s="26" t="inlineStr">
        <is>
          <t>The same load spread over 2, 3, 5 then 10 quorums (one quorum registered per sender). Verify all of it in one run: Throughput improves with quorum count; record where it stops helping. Repeat across 2, 3, 5, 10 quorums at the same load, and report each assertion separately so one failure cannot hide the others. Also covers RBT-Q-08, RBT-Q-09, RBT-N-07, RBT-N-08, RBT-N-09, RBT-B-04. (Original note: CONSTRAINT - as RBT-Q-08.) Confirmed against core: one transaction uses exactly ONE quorum. transactionInfo.Quorums is built as a single-element slice from quorumAddresses[0] (core/transaction.go:289-294) and so is the signature list (core/transaction.go:376-379), with QuorumRequired = MinQuorumRequired = MinConsensusRequired = 1 (core/quorum_initiator.go:17-19). The model holds a list and validation loops over it, but nothing ever fills more than one. This row is therefore only meaningful as different SENDERS using different quorums - which is worth testing - and is untestable if read as several quorums signing one transaction.</t>
        </is>
      </c>
      <c r="Q29" s="25" t="inlineStr">
        <is>
          <t>Remove multiple quorum cases as one quorum is only needed for a txn</t>
        </is>
      </c>
    </row>
    <row r="30" ht="15" customHeight="1" s="14">
      <c r="A30" s="25" t="inlineStr">
        <is>
          <t>RBT-Q-12</t>
        </is>
      </c>
      <c r="B30" s="25" t="inlineStr">
        <is>
          <t>RBT</t>
        </is>
      </c>
      <c r="C30" s="25" t="inlineStr">
        <is>
          <t>Code</t>
        </is>
      </c>
      <c r="D30" s="25" t="inlineStr">
        <is>
          <t>Functional</t>
        </is>
      </c>
      <c r="E30" s="25" t="inlineStr">
        <is>
          <t>Quorum Capacity</t>
        </is>
      </c>
      <c r="F30" s="25" t="inlineStr">
        <is>
          <t>Send more than a well funded quorum can pledge</t>
        </is>
      </c>
      <c r="G30" s="25" t="inlineStr">
        <is>
          <t>API</t>
        </is>
      </c>
      <c r="H30" s="25" t="inlineStr">
        <is>
          <t>Single</t>
        </is>
      </c>
      <c r="I30" s="25" t="inlineStr">
        <is>
          <t>Rejected with a clear message</t>
        </is>
      </c>
      <c r="J30" s="25" t="inlineStr">
        <is>
          <t>Edge case only - confirms the error path is clean</t>
        </is>
      </c>
      <c r="K30" s="25" t="inlineStr">
        <is>
          <t>P1</t>
        </is>
      </c>
      <c r="L30" s="25" t="inlineStr">
        <is>
          <t>core/consensus/consensus.go:91</t>
        </is>
      </c>
      <c r="M30" s="25" t="inlineStr">
        <is>
          <t>RBT-056</t>
        </is>
      </c>
      <c r="N30" s="25" t="inlineStr">
        <is>
          <t>master</t>
        </is>
      </c>
      <c r="O30" s="25" t="n"/>
      <c r="P30" s="26" t="inlineStr">
        <is>
          <t>Send a value larger than the quorum can pledge. Verify all of it in one run: Rejected with a message naming pledge shortage, and nothing is left locked. The pledge check is value-based, so repeat the same case with RBT, an FT transfer, an NFT execute and a valued deploy. Also covers FT-Q-06, NFT-Q-02, SC-Q-02, and report each assertion separately.</t>
        </is>
      </c>
      <c r="Q30" s="25" t="n"/>
    </row>
    <row r="31" ht="24" customHeight="1" s="14">
      <c r="A31" s="25" t="inlineStr">
        <is>
          <t>RBT-Q-14</t>
        </is>
      </c>
      <c r="B31" s="25" t="inlineStr">
        <is>
          <t>RBT</t>
        </is>
      </c>
      <c r="C31" s="25" t="inlineStr">
        <is>
          <t>Code</t>
        </is>
      </c>
      <c r="D31" s="25" t="inlineStr">
        <is>
          <t>Functional</t>
        </is>
      </c>
      <c r="E31" s="25" t="inlineStr">
        <is>
          <t>Quorum Capacity</t>
        </is>
      </c>
      <c r="F31" s="25" t="inlineStr">
        <is>
          <t>Register three quorums on one sender, run 30 transfers, and record which quorum signed each</t>
        </is>
      </c>
      <c r="G31" s="25" t="inlineStr">
        <is>
          <t>API</t>
        </is>
      </c>
      <c r="H31" s="25" t="inlineStr">
        <is>
          <t>Multi</t>
        </is>
      </c>
      <c r="I31" s="25" t="inlineStr">
        <is>
          <t>The same quorum signs every time</t>
        </is>
      </c>
      <c r="J31" s="25" t="n"/>
      <c r="K31" s="25" t="inlineStr">
        <is>
          <t>P0</t>
        </is>
      </c>
      <c r="L31" s="25" t="inlineStr">
        <is>
          <t>core/wallet/quorum.go:66-69</t>
        </is>
      </c>
      <c r="M31" s="25" t="n"/>
      <c r="N31" s="25" t="n"/>
      <c r="O31" s="25" t="n"/>
      <c r="P31" s="26" t="inlineStr">
        <is>
          <t>SELECT did FROM quorum_manager has no ORDER BY, so the 'primary' quorum is whatever Postgres returns. Expect this to drift; it is a product finding with a one-line fix. Repeat after a node restart. Confirmed against core: one transaction uses exactly ONE quorum. transactionInfo.Quorums is built as a single-element slice from quorumAddresses[0] (core/transaction.go:289-294) and so is the signature list (core/transaction.go:376-379), with QuorumRequired = MinQuorumRequired = MinConsensusRequired = 1 (core/quorum_initiator.go:17-19). The model holds a list and validation loops over it, but nothing ever fills more than one. This row is therefore only meaningful as different SENDERS using different quorums - which is worth testing - and is untestable if read as several quorums signing one transaction.</t>
        </is>
      </c>
      <c r="Q31" s="25" t="n"/>
    </row>
    <row r="32" ht="24" customHeight="1" s="14">
      <c r="A32" s="25" t="inlineStr">
        <is>
          <t>RBT-L-01</t>
        </is>
      </c>
      <c r="B32" s="25" t="inlineStr">
        <is>
          <t>RBT</t>
        </is>
      </c>
      <c r="C32" s="25" t="inlineStr">
        <is>
          <t>Code</t>
        </is>
      </c>
      <c r="D32" s="25" t="inlineStr">
        <is>
          <t>Functional</t>
        </is>
      </c>
      <c r="E32" s="25" t="inlineStr">
        <is>
          <t>Pledging</t>
        </is>
      </c>
      <c r="F32" s="25" t="inlineStr">
        <is>
          <t>Watch pledge and unpledge during a normal transfer</t>
        </is>
      </c>
      <c r="G32" s="25" t="inlineStr">
        <is>
          <t>API</t>
        </is>
      </c>
      <c r="H32" s="25" t="inlineStr">
        <is>
          <t>Single</t>
        </is>
      </c>
      <c r="I32" s="25" t="inlineStr">
        <is>
          <t>Pledge created then released</t>
        </is>
      </c>
      <c r="J32" s="25" t="inlineStr">
        <is>
          <t>No pledges left open afterwards</t>
        </is>
      </c>
      <c r="K32" s="25" t="inlineStr">
        <is>
          <t>P0</t>
        </is>
      </c>
      <c r="L32" s="25" t="inlineStr">
        <is>
          <t>core/pledge_v2.go:39</t>
        </is>
      </c>
      <c r="M32" s="25" t="inlineStr">
        <is>
          <t>RBT-058</t>
        </is>
      </c>
      <c r="N32" s="25" t="inlineStr">
        <is>
          <t>master</t>
        </is>
      </c>
      <c r="O32" s="25" t="n"/>
      <c r="P32" s="26" t="inlineStr">
        <is>
          <t>One transfer, watched from pledge through release. Verify all of it in one run: Pledge is created; a spend of the pledged token is refused while it is pledged; the pledge is released after a later transaction; token returns to Free and token_denom is incremented; record the time to release. Repeat across three transfers: a whole token, a part token, and a value needing a split, and report each assertion separately so one failure cannot hide the others. Also covers RBT-L-02, RBT-Q-13.</t>
        </is>
      </c>
      <c r="Q32" s="25" t="n"/>
    </row>
    <row r="33" ht="24" customHeight="1" s="14">
      <c r="A33" s="25" t="inlineStr">
        <is>
          <t>RBT-L-03</t>
        </is>
      </c>
      <c r="B33" s="25" t="inlineStr">
        <is>
          <t>RBT</t>
        </is>
      </c>
      <c r="C33" s="25" t="inlineStr">
        <is>
          <t>Code</t>
        </is>
      </c>
      <c r="D33" s="25" t="inlineStr">
        <is>
          <t>Functional</t>
        </is>
      </c>
      <c r="E33" s="25" t="inlineStr">
        <is>
          <t>Pledging</t>
        </is>
      </c>
      <c r="F33" s="25" t="inlineStr">
        <is>
          <t>Interrupt a transfer after pledge but before finish</t>
        </is>
      </c>
      <c r="G33" s="25" t="inlineStr">
        <is>
          <t>NODE-KILL</t>
        </is>
      </c>
      <c r="H33" s="25" t="inlineStr">
        <is>
          <t>Single</t>
        </is>
      </c>
      <c r="I33" s="25" t="inlineStr">
        <is>
          <t>Pledge is released on recovery</t>
        </is>
      </c>
      <c r="J33" s="25" t="inlineStr">
        <is>
          <t>No tokens stuck pledged forever</t>
        </is>
      </c>
      <c r="K33" s="25" t="inlineStr">
        <is>
          <t>P0</t>
        </is>
      </c>
      <c r="L33" s="25" t="n"/>
      <c r="M33" s="25" t="inlineStr">
        <is>
          <t>RBT-060</t>
        </is>
      </c>
      <c r="N33" s="25" t="inlineStr">
        <is>
          <t>master</t>
        </is>
      </c>
      <c r="O33" s="25" t="n"/>
      <c r="P33" s="26" t="inlineStr">
        <is>
          <t>NODE-KILL - needs mid-transaction kill orchestration. High value: it is the only case that proves a pledge survives a crash.</t>
        </is>
      </c>
      <c r="Q33" s="25" t="n"/>
    </row>
    <row r="34" ht="24" customHeight="1" s="14">
      <c r="A34" s="25" t="inlineStr">
        <is>
          <t>RBT-L-04</t>
        </is>
      </c>
      <c r="B34" s="25" t="inlineStr">
        <is>
          <t>RBT</t>
        </is>
      </c>
      <c r="C34" s="25" t="inlineStr">
        <is>
          <t>Code</t>
        </is>
      </c>
      <c r="D34" s="25" t="inlineStr">
        <is>
          <t>Functional</t>
        </is>
      </c>
      <c r="E34" s="25" t="inlineStr">
        <is>
          <t>Pledging</t>
        </is>
      </c>
      <c r="F34" s="25" t="inlineStr">
        <is>
          <t>Complete a transfer, spend the received token, and watch the quorum unpledge</t>
        </is>
      </c>
      <c r="G34" s="25" t="inlineStr">
        <is>
          <t>API</t>
        </is>
      </c>
      <c r="H34" s="25" t="inlineStr">
        <is>
          <t>Single</t>
        </is>
      </c>
      <c r="I34" s="25" t="inlineStr">
        <is>
          <t>Pledged tokens return to Free and token_denom is incremented</t>
        </is>
      </c>
      <c r="J34" s="25" t="n"/>
      <c r="K34" s="25" t="inlineStr">
        <is>
          <t>P0</t>
        </is>
      </c>
      <c r="L34" s="25" t="inlineStr">
        <is>
          <t>core/fullnode.go:75; core/unpledge_v2.go:26-28</t>
        </is>
      </c>
      <c r="M34" s="25" t="n"/>
      <c r="N34" s="25" t="n"/>
      <c r="O34" s="25" t="n"/>
      <c r="P34" s="26" t="inlineStr">
        <is>
          <t>Unpledge is driven by the fullnode callback once a later transaction is published. Assert both halves: the status change and the counter increment. Repeat for a whole token, a part token and a value that needed a split.</t>
        </is>
      </c>
      <c r="Q34" s="25" t="n"/>
    </row>
    <row r="35" ht="24" customHeight="1" s="14">
      <c r="A35" s="25" t="inlineStr">
        <is>
          <t>RBT-L-05</t>
        </is>
      </c>
      <c r="B35" s="25" t="inlineStr">
        <is>
          <t>RBT</t>
        </is>
      </c>
      <c r="C35" s="25" t="inlineStr">
        <is>
          <t>Code</t>
        </is>
      </c>
      <c r="D35" s="25" t="inlineStr">
        <is>
          <t>Functional</t>
        </is>
      </c>
      <c r="E35" s="25" t="inlineStr">
        <is>
          <t>Pledging</t>
        </is>
      </c>
      <c r="F35" s="25" t="inlineStr">
        <is>
          <t>Run the unpledge flow on a node that holds TWO quorum DIDs</t>
        </is>
      </c>
      <c r="G35" s="25" t="inlineStr">
        <is>
          <t>API</t>
        </is>
      </c>
      <c r="H35" s="25" t="inlineStr">
        <is>
          <t>Multi</t>
        </is>
      </c>
      <c r="I35" s="25" t="inlineStr">
        <is>
          <t>The quorum that pledged is the one that unpledges</t>
        </is>
      </c>
      <c r="J35" s="25" t="n"/>
      <c r="K35" s="25" t="inlineStr">
        <is>
          <t>P0</t>
        </is>
      </c>
      <c r="L35" s="25" t="inlineStr">
        <is>
          <t>core/fullnode.go:66-70</t>
        </is>
      </c>
      <c r="M35" s="25" t="n"/>
      <c r="N35" s="25" t="n"/>
      <c r="O35" s="25" t="n"/>
      <c r="P35" s="26" t="inlineStr">
        <is>
          <t>The callback picks a quorum DID by breaking out of a Go map range, which is randomised, so the wrong DID may unpledge. Run it several times - a random pick will not fail every time.</t>
        </is>
      </c>
      <c r="Q35" s="25" t="n"/>
    </row>
    <row r="36" ht="24" customHeight="1" s="14">
      <c r="A36" s="25" t="inlineStr">
        <is>
          <t>RBT-N-01</t>
        </is>
      </c>
      <c r="B36" s="25" t="inlineStr">
        <is>
          <t>RBT</t>
        </is>
      </c>
      <c r="C36" s="25" t="inlineStr">
        <is>
          <t>Code</t>
        </is>
      </c>
      <c r="D36" s="25" t="inlineStr">
        <is>
          <t>Functional</t>
        </is>
      </c>
      <c r="E36" s="25" t="inlineStr">
        <is>
          <t>Concurrency</t>
        </is>
      </c>
      <c r="F36" s="25" t="inlineStr">
        <is>
          <t>Send the same token to two receivers at the same time</t>
        </is>
      </c>
      <c r="G36" s="25" t="inlineStr">
        <is>
          <t>API-RACE</t>
        </is>
      </c>
      <c r="H36" s="25" t="inlineStr">
        <is>
          <t>Single</t>
        </is>
      </c>
      <c r="I36" s="25" t="inlineStr">
        <is>
          <t>Only one succeeds</t>
        </is>
      </c>
      <c r="J36" s="25" t="inlineStr">
        <is>
          <t>Token has one owner; no double spend</t>
        </is>
      </c>
      <c r="K36" s="25" t="inlineStr">
        <is>
          <t>P0</t>
        </is>
      </c>
      <c r="L36" s="25" t="inlineStr">
        <is>
          <t>core/pledge_v2.go:94</t>
        </is>
      </c>
      <c r="M36" s="25" t="inlineStr">
        <is>
          <t>RBT-061</t>
        </is>
      </c>
      <c r="N36" s="25" t="inlineStr">
        <is>
          <t>master</t>
        </is>
      </c>
      <c r="O36" s="25" t="n"/>
      <c r="P36" s="26" t="inlineStr">
        <is>
          <t>OK - the double-spend race. Assert exactly one succeeds AND the loser leaves no lock behind.</t>
        </is>
      </c>
      <c r="Q36" s="25" t="n"/>
    </row>
    <row r="37" ht="24" customHeight="1" s="14">
      <c r="A37" s="25" t="inlineStr">
        <is>
          <t>RBT-N-10</t>
        </is>
      </c>
      <c r="B37" s="25" t="inlineStr">
        <is>
          <t>RBT</t>
        </is>
      </c>
      <c r="C37" s="25" t="inlineStr">
        <is>
          <t>Code</t>
        </is>
      </c>
      <c r="D37" s="25" t="inlineStr">
        <is>
          <t>Functional</t>
        </is>
      </c>
      <c r="E37" s="25" t="inlineStr">
        <is>
          <t>Concurrency</t>
        </is>
      </c>
      <c r="F37" s="25" t="inlineStr">
        <is>
          <t>Many transfers from one single wallet at once</t>
        </is>
      </c>
      <c r="G37" s="25" t="inlineStr">
        <is>
          <t>API-RACE</t>
        </is>
      </c>
      <c r="H37" s="25" t="inlineStr">
        <is>
          <t>Single</t>
        </is>
      </c>
      <c r="I37" s="25" t="inlineStr">
        <is>
          <t>All succeed or fail cleanly</t>
        </is>
      </c>
      <c r="J37" s="25" t="inlineStr">
        <is>
          <t>No token used twice; final balance exact; watch lock retries</t>
        </is>
      </c>
      <c r="K37" s="25" t="inlineStr">
        <is>
          <t>P0</t>
        </is>
      </c>
      <c r="L37" s="25" t="inlineStr">
        <is>
          <t>core/wallet/token_lock.go:21</t>
        </is>
      </c>
      <c r="M37" s="25" t="inlineStr">
        <is>
          <t>RBT-062</t>
        </is>
      </c>
      <c r="N37" s="25" t="inlineStr">
        <is>
          <t>master</t>
        </is>
      </c>
      <c r="O37" s="25" t="n"/>
      <c r="P37" s="26" t="inlineStr">
        <is>
          <t>OK - same wallet, parallel sends: this is where token locking and the TOCTOU retry (core/transaction.go:113) are exercised.</t>
        </is>
      </c>
      <c r="Q37" s="25" t="n"/>
    </row>
    <row r="38" ht="24" customHeight="1" s="14">
      <c r="A38" s="25" t="inlineStr">
        <is>
          <t>RBT-N-11</t>
        </is>
      </c>
      <c r="B38" s="25" t="inlineStr">
        <is>
          <t>RBT</t>
        </is>
      </c>
      <c r="C38" s="25" t="inlineStr">
        <is>
          <t>Code</t>
        </is>
      </c>
      <c r="D38" s="25" t="inlineStr">
        <is>
          <t>Functional</t>
        </is>
      </c>
      <c r="E38" s="25" t="inlineStr">
        <is>
          <t>Concurrency</t>
        </is>
      </c>
      <c r="F38" s="25" t="inlineStr">
        <is>
          <t>Many transfers into one single receiver at once</t>
        </is>
      </c>
      <c r="G38" s="25" t="inlineStr">
        <is>
          <t>API-RACE</t>
        </is>
      </c>
      <c r="H38" s="25" t="inlineStr">
        <is>
          <t>Multi</t>
        </is>
      </c>
      <c r="I38" s="25" t="inlineStr">
        <is>
          <t>All succeed</t>
        </is>
      </c>
      <c r="J38" s="25" t="inlineStr">
        <is>
          <t>Receiver balance is the exact sum</t>
        </is>
      </c>
      <c r="K38" s="25" t="inlineStr">
        <is>
          <t>P0</t>
        </is>
      </c>
      <c r="L38" s="25" t="n"/>
      <c r="M38" s="25" t="inlineStr">
        <is>
          <t>RBT-063</t>
        </is>
      </c>
      <c r="N38" s="25" t="inlineStr">
        <is>
          <t>master</t>
        </is>
      </c>
      <c r="O38" s="25" t="n"/>
      <c r="P38" s="26" t="inlineStr">
        <is>
          <t>OK</t>
        </is>
      </c>
      <c r="Q38" s="25" t="n"/>
    </row>
    <row r="39" ht="24" customHeight="1" s="14">
      <c r="A39" s="25" t="inlineStr">
        <is>
          <t>RBT-N-12</t>
        </is>
      </c>
      <c r="B39" s="25" t="inlineStr">
        <is>
          <t>RBT</t>
        </is>
      </c>
      <c r="C39" s="25" t="inlineStr">
        <is>
          <t>Code</t>
        </is>
      </c>
      <c r="D39" s="25" t="inlineStr">
        <is>
          <t>Functional</t>
        </is>
      </c>
      <c r="E39" s="25" t="inlineStr">
        <is>
          <t>Concurrency</t>
        </is>
      </c>
      <c r="F39" s="25" t="inlineStr">
        <is>
          <t>Two nodes sending to each other at the same time</t>
        </is>
      </c>
      <c r="G39" s="25" t="inlineStr">
        <is>
          <t>API-RACE</t>
        </is>
      </c>
      <c r="H39" s="25" t="inlineStr">
        <is>
          <t>Single</t>
        </is>
      </c>
      <c r="I39" s="25" t="inlineStr">
        <is>
          <t>Both succeed</t>
        </is>
      </c>
      <c r="J39" s="25" t="inlineStr">
        <is>
          <t>No deadlock; both balances correct</t>
        </is>
      </c>
      <c r="K39" s="25" t="inlineStr">
        <is>
          <t>P0</t>
        </is>
      </c>
      <c r="L39" s="25" t="inlineStr">
        <is>
          <t>core/pledge_v2.go:94</t>
        </is>
      </c>
      <c r="M39" s="25" t="inlineStr">
        <is>
          <t>RBT-064</t>
        </is>
      </c>
      <c r="N39" s="25" t="inlineStr">
        <is>
          <t>master</t>
        </is>
      </c>
      <c r="O39" s="25" t="n"/>
      <c r="P39" s="26" t="inlineStr">
        <is>
          <t>OK - A-&gt;B and B-&gt;A simultaneously.</t>
        </is>
      </c>
      <c r="Q39" s="25" t="n"/>
    </row>
    <row r="40" ht="24" customHeight="1" s="14">
      <c r="A40" s="25" t="inlineStr">
        <is>
          <t>RBT-N-13</t>
        </is>
      </c>
      <c r="B40" s="25" t="inlineStr">
        <is>
          <t>RBT</t>
        </is>
      </c>
      <c r="C40" s="25" t="inlineStr">
        <is>
          <t>Code</t>
        </is>
      </c>
      <c r="D40" s="25" t="inlineStr">
        <is>
          <t>Functional</t>
        </is>
      </c>
      <c r="E40" s="25" t="inlineStr">
        <is>
          <t>Concurrency</t>
        </is>
      </c>
      <c r="F40" s="25" t="inlineStr">
        <is>
          <t>Large values sent in parallel through one quorum</t>
        </is>
      </c>
      <c r="G40" s="25" t="inlineStr">
        <is>
          <t>API-RACE</t>
        </is>
      </c>
      <c r="H40" s="25" t="inlineStr">
        <is>
          <t>Single</t>
        </is>
      </c>
      <c r="I40" s="25" t="inlineStr">
        <is>
          <t>Some fail on pledge shortage</t>
        </is>
      </c>
      <c r="J40" s="25" t="inlineStr">
        <is>
          <t>Failures are clean; successes are exact</t>
        </is>
      </c>
      <c r="K40" s="25" t="inlineStr">
        <is>
          <t>P0</t>
        </is>
      </c>
      <c r="L40" s="25" t="n"/>
      <c r="M40" s="25" t="inlineStr">
        <is>
          <t>RBT-065</t>
        </is>
      </c>
      <c r="N40" s="25" t="inlineStr">
        <is>
          <t>master</t>
        </is>
      </c>
      <c r="O40" s="25" t="n"/>
      <c r="P40" s="26" t="inlineStr">
        <is>
          <t>OK - expect pledge-shortage rejections; assert they are clean, not partial.</t>
        </is>
      </c>
      <c r="Q40" s="25" t="n"/>
    </row>
    <row r="41" ht="24" customHeight="1" s="14">
      <c r="A41" s="25" t="inlineStr">
        <is>
          <t>RBT-N-14</t>
        </is>
      </c>
      <c r="B41" s="25" t="inlineStr">
        <is>
          <t>RBT</t>
        </is>
      </c>
      <c r="C41" s="25" t="inlineStr">
        <is>
          <t>Code</t>
        </is>
      </c>
      <c r="D41" s="25" t="inlineStr">
        <is>
          <t>Functional</t>
        </is>
      </c>
      <c r="E41" s="25" t="inlineStr">
        <is>
          <t>Concurrency</t>
        </is>
      </c>
      <c r="F41" s="25" t="inlineStr">
        <is>
          <t>Mix of tiny and large values in parallel</t>
        </is>
      </c>
      <c r="G41" s="25" t="inlineStr">
        <is>
          <t>API-RACE</t>
        </is>
      </c>
      <c r="H41" s="25" t="inlineStr">
        <is>
          <t>Multi</t>
        </is>
      </c>
      <c r="I41" s="25" t="inlineStr">
        <is>
          <t>All settle</t>
        </is>
      </c>
      <c r="J41" s="25" t="inlineStr">
        <is>
          <t>Small ones should not be starved by large ones</t>
        </is>
      </c>
      <c r="K41" s="25" t="inlineStr">
        <is>
          <t>P0</t>
        </is>
      </c>
      <c r="L41" s="25" t="n"/>
      <c r="M41" s="25" t="inlineStr">
        <is>
          <t>RBT-066</t>
        </is>
      </c>
      <c r="N41" s="25" t="inlineStr">
        <is>
          <t>master</t>
        </is>
      </c>
      <c r="O41" s="25" t="n"/>
      <c r="P41" s="26" t="inlineStr">
        <is>
          <t>OK</t>
        </is>
      </c>
      <c r="Q41" s="25" t="n"/>
    </row>
    <row r="42" ht="24" customHeight="1" s="14">
      <c r="A42" s="25" t="inlineStr">
        <is>
          <t>RBT-N-15</t>
        </is>
      </c>
      <c r="B42" s="25" t="inlineStr">
        <is>
          <t>RBT</t>
        </is>
      </c>
      <c r="C42" s="25" t="inlineStr">
        <is>
          <t>Code</t>
        </is>
      </c>
      <c r="D42" s="25" t="inlineStr">
        <is>
          <t>Functional</t>
        </is>
      </c>
      <c r="E42" s="25" t="inlineStr">
        <is>
          <t>Concurrency</t>
        </is>
      </c>
      <c r="F42" s="25" t="inlineStr">
        <is>
          <t>All 40 nodes sending at the same moment</t>
        </is>
      </c>
      <c r="G42" s="25" t="inlineStr">
        <is>
          <t>API-RACE</t>
        </is>
      </c>
      <c r="H42" s="25" t="inlineStr">
        <is>
          <t>Multi</t>
        </is>
      </c>
      <c r="I42" s="25" t="inlineStr">
        <is>
          <t>Record pass rate</t>
        </is>
      </c>
      <c r="J42" s="25" t="inlineStr">
        <is>
          <t>Total RBT across the fleet is unchanged</t>
        </is>
      </c>
      <c r="K42" s="25" t="inlineStr">
        <is>
          <t>P0</t>
        </is>
      </c>
      <c r="L42" s="25" t="n"/>
      <c r="M42" s="25" t="inlineStr">
        <is>
          <t>RBT-067</t>
        </is>
      </c>
      <c r="N42" s="25" t="inlineStr">
        <is>
          <t>master</t>
        </is>
      </c>
      <c r="O42" s="25" t="n"/>
      <c r="P42" s="26" t="inlineStr">
        <is>
          <t>OK (record-only)</t>
        </is>
      </c>
      <c r="Q42" s="25" t="n"/>
    </row>
    <row r="43" ht="24" customHeight="1" s="14">
      <c r="A43" s="25" t="inlineStr">
        <is>
          <t>RBT-F-01</t>
        </is>
      </c>
      <c r="B43" s="25" t="inlineStr">
        <is>
          <t>RBT</t>
        </is>
      </c>
      <c r="C43" s="25" t="inlineStr">
        <is>
          <t>Code</t>
        </is>
      </c>
      <c r="D43" s="25" t="inlineStr">
        <is>
          <t>Functional</t>
        </is>
      </c>
      <c r="E43" s="25" t="inlineStr">
        <is>
          <t>Failure</t>
        </is>
      </c>
      <c r="F43" s="25" t="inlineStr">
        <is>
          <t>Stop the receiver node mid transfer</t>
        </is>
      </c>
      <c r="G43" s="25" t="inlineStr">
        <is>
          <t>NODE-KILL</t>
        </is>
      </c>
      <c r="H43" s="25" t="inlineStr">
        <is>
          <t>Single</t>
        </is>
      </c>
      <c r="I43" s="25" t="inlineStr">
        <is>
          <t>Fails cleanly</t>
        </is>
      </c>
      <c r="J43" s="25" t="inlineStr">
        <is>
          <t>Sender tokens unlocked not stuck; retry works after restart</t>
        </is>
      </c>
      <c r="K43" s="25" t="inlineStr">
        <is>
          <t>P0</t>
        </is>
      </c>
      <c r="L43" s="25" t="inlineStr">
        <is>
          <t>core/transaction.go:67</t>
        </is>
      </c>
      <c r="M43" s="25" t="inlineStr">
        <is>
          <t>RBT-068</t>
        </is>
      </c>
      <c r="N43" s="25" t="inlineStr">
        <is>
          <t>master</t>
        </is>
      </c>
      <c r="O43" s="25" t="n"/>
      <c r="P43" s="26" t="inlineStr">
        <is>
          <t>NODE-KILL - doable over SSH; specify the exact moment (after pledge, before consensus reply).</t>
        </is>
      </c>
      <c r="Q43" s="25" t="n"/>
    </row>
    <row r="44" ht="24" customHeight="1" s="14">
      <c r="A44" s="25" t="inlineStr">
        <is>
          <t>RBT-F-02</t>
        </is>
      </c>
      <c r="B44" s="25" t="inlineStr">
        <is>
          <t>RBT</t>
        </is>
      </c>
      <c r="C44" s="25" t="inlineStr">
        <is>
          <t>Code</t>
        </is>
      </c>
      <c r="D44" s="25" t="inlineStr">
        <is>
          <t>Functional</t>
        </is>
      </c>
      <c r="E44" s="25" t="inlineStr">
        <is>
          <t>Failure</t>
        </is>
      </c>
      <c r="F44" s="25" t="inlineStr">
        <is>
          <t>Stop the quorum node mid transfer</t>
        </is>
      </c>
      <c r="G44" s="25" t="inlineStr">
        <is>
          <t>NODE-KILL</t>
        </is>
      </c>
      <c r="H44" s="25" t="inlineStr">
        <is>
          <t>Single</t>
        </is>
      </c>
      <c r="I44" s="25" t="inlineStr">
        <is>
          <t>Fails cleanly</t>
        </is>
      </c>
      <c r="J44" s="25" t="inlineStr">
        <is>
          <t>Clear error; nothing half applied; tokens released</t>
        </is>
      </c>
      <c r="K44" s="25" t="inlineStr">
        <is>
          <t>P0</t>
        </is>
      </c>
      <c r="L44" s="25" t="n"/>
      <c r="M44" s="25" t="inlineStr">
        <is>
          <t>RBT-069</t>
        </is>
      </c>
      <c r="N44" s="25" t="inlineStr">
        <is>
          <t>master</t>
        </is>
      </c>
      <c r="O44" s="25" t="n"/>
      <c r="P44" s="26" t="inlineStr">
        <is>
          <t>NODE-KILL - killing the quorum mid-transfer is the highest-value failure case in this group.</t>
        </is>
      </c>
      <c r="Q44" s="25" t="n"/>
    </row>
    <row r="45" ht="24" customHeight="1" s="14">
      <c r="A45" s="25" t="inlineStr">
        <is>
          <t>RBT-F-03</t>
        </is>
      </c>
      <c r="B45" s="25" t="inlineStr">
        <is>
          <t>RBT</t>
        </is>
      </c>
      <c r="C45" s="25" t="inlineStr">
        <is>
          <t>Code</t>
        </is>
      </c>
      <c r="D45" s="25" t="inlineStr">
        <is>
          <t>Functional</t>
        </is>
      </c>
      <c r="E45" s="25" t="inlineStr">
        <is>
          <t>Failure</t>
        </is>
      </c>
      <c r="F45" s="25" t="inlineStr">
        <is>
          <t>Stop the sender node mid transfer then restart</t>
        </is>
      </c>
      <c r="G45" s="25" t="inlineStr">
        <is>
          <t>NODE-KILL</t>
        </is>
      </c>
      <c r="H45" s="25" t="inlineStr">
        <is>
          <t>Single</t>
        </is>
      </c>
      <c r="I45" s="25" t="inlineStr">
        <is>
          <t>Recovers to a clean state</t>
        </is>
      </c>
      <c r="J45" s="25" t="inlineStr">
        <is>
          <t>No phantom balance; ownership consistent</t>
        </is>
      </c>
      <c r="K45" s="25" t="inlineStr">
        <is>
          <t>P0</t>
        </is>
      </c>
      <c r="L45" s="25" t="n"/>
      <c r="M45" s="25" t="inlineStr">
        <is>
          <t>RBT-070</t>
        </is>
      </c>
      <c r="N45" s="25" t="inlineStr">
        <is>
          <t>master</t>
        </is>
      </c>
      <c r="O45" s="25" t="n"/>
      <c r="P45" s="26" t="inlineStr">
        <is>
          <t>NODE-KILL</t>
        </is>
      </c>
      <c r="Q45" s="25" t="n"/>
    </row>
    <row r="46" ht="24" customHeight="1" s="14">
      <c r="A46" s="25" t="inlineStr">
        <is>
          <t>RBT-F-04</t>
        </is>
      </c>
      <c r="B46" s="25" t="inlineStr">
        <is>
          <t>RBT</t>
        </is>
      </c>
      <c r="C46" s="25" t="inlineStr">
        <is>
          <t>Code</t>
        </is>
      </c>
      <c r="D46" s="25" t="inlineStr">
        <is>
          <t>Functional</t>
        </is>
      </c>
      <c r="E46" s="25" t="inlineStr">
        <is>
          <t>Failure</t>
        </is>
      </c>
      <c r="F46" s="25" t="inlineStr">
        <is>
          <t>Restart the database during a transfer</t>
        </is>
      </c>
      <c r="G46" s="25" t="inlineStr">
        <is>
          <t>NODE-KILL</t>
        </is>
      </c>
      <c r="H46" s="25" t="inlineStr">
        <is>
          <t>Single</t>
        </is>
      </c>
      <c r="I46" s="25" t="inlineStr">
        <is>
          <t>Node reconnects</t>
        </is>
      </c>
      <c r="J46" s="25" t="inlineStr">
        <is>
          <t>No completed transfer is lost</t>
        </is>
      </c>
      <c r="K46" s="25" t="inlineStr">
        <is>
          <t>P0</t>
        </is>
      </c>
      <c r="L46" s="25" t="inlineStr">
        <is>
          <t>core/connection_recovery.go</t>
        </is>
      </c>
      <c r="M46" s="25" t="inlineStr">
        <is>
          <t>RBT-071</t>
        </is>
      </c>
      <c r="N46" s="25" t="inlineStr">
        <is>
          <t>master</t>
        </is>
      </c>
      <c r="O46" s="25" t="n"/>
      <c r="P46" s="26" t="inlineStr">
        <is>
          <t>NODE-KILL - restarting Postgres under a transfer. Pool is max_connections=50, statement_timeout=20s.</t>
        </is>
      </c>
      <c r="Q46" s="25" t="n"/>
    </row>
    <row r="47" ht="45.75" customHeight="1" s="14">
      <c r="A47" s="25" t="inlineStr">
        <is>
          <t>RBT-F-05</t>
        </is>
      </c>
      <c r="B47" s="25" t="inlineStr">
        <is>
          <t>RBT</t>
        </is>
      </c>
      <c r="C47" s="25" t="inlineStr">
        <is>
          <t>Code</t>
        </is>
      </c>
      <c r="D47" s="25" t="inlineStr">
        <is>
          <t>Functional</t>
        </is>
      </c>
      <c r="E47" s="25" t="inlineStr">
        <is>
          <t>Failure</t>
        </is>
      </c>
      <c r="F47" s="25" t="inlineStr">
        <is>
          <t>Kill a node during heavy parallel load</t>
        </is>
      </c>
      <c r="G47" s="25" t="inlineStr">
        <is>
          <t>NODE-KILL</t>
        </is>
      </c>
      <c r="H47" s="25" t="inlineStr">
        <is>
          <t>Multi</t>
        </is>
      </c>
      <c r="I47" s="25" t="inlineStr">
        <is>
          <t>Other transfers carry on</t>
        </is>
      </c>
      <c r="J47" s="25" t="inlineStr">
        <is>
          <t>Only in flight ones fail; totals still reconcile</t>
        </is>
      </c>
      <c r="K47" s="25" t="inlineStr">
        <is>
          <t>P0</t>
        </is>
      </c>
      <c r="L47" s="25" t="n"/>
      <c r="M47" s="25" t="inlineStr">
        <is>
          <t>RBT-072</t>
        </is>
      </c>
      <c r="N47" s="25" t="inlineStr">
        <is>
          <t>master</t>
        </is>
      </c>
      <c r="O47" s="25" t="n"/>
      <c r="P47" s="26" t="inlineStr">
        <is>
          <t>NODE-KILL</t>
        </is>
      </c>
      <c r="Q47" s="25" t="n"/>
    </row>
    <row r="48" ht="24" customHeight="1" s="14">
      <c r="A48" s="25" t="inlineStr">
        <is>
          <t>RBT-B-01</t>
        </is>
      </c>
      <c r="B48" s="25" t="inlineStr">
        <is>
          <t>RBT</t>
        </is>
      </c>
      <c r="C48" s="25" t="inlineStr">
        <is>
          <t>Infra</t>
        </is>
      </c>
      <c r="D48" s="25" t="inlineStr">
        <is>
          <t>Performance</t>
        </is>
      </c>
      <c r="E48" s="25" t="inlineStr">
        <is>
          <t>Bulk</t>
        </is>
      </c>
      <c r="F48" s="25" t="inlineStr">
        <is>
          <t>Send many small transfers back to back</t>
        </is>
      </c>
      <c r="G48" s="25" t="inlineStr">
        <is>
          <t>API</t>
        </is>
      </c>
      <c r="H48" s="25" t="inlineStr">
        <is>
          <t>Single</t>
        </is>
      </c>
      <c r="I48" s="25" t="inlineStr">
        <is>
          <t>All succeed</t>
        </is>
      </c>
      <c r="J48" s="25" t="inlineStr">
        <is>
          <t>Measure speed; total value unchanged at the end</t>
        </is>
      </c>
      <c r="K48" s="25" t="inlineStr">
        <is>
          <t>P0</t>
        </is>
      </c>
      <c r="L48" s="25" t="n"/>
      <c r="M48" s="25" t="inlineStr">
        <is>
          <t>RBT-073</t>
        </is>
      </c>
      <c r="N48" s="25" t="inlineStr">
        <is>
          <t>master</t>
        </is>
      </c>
      <c r="O48" s="25" t="n"/>
      <c r="P48" s="26" t="inlineStr">
        <is>
          <t>OK</t>
        </is>
      </c>
      <c r="Q48" s="25" t="n"/>
    </row>
    <row r="49" ht="24" customHeight="1" s="14">
      <c r="A49" s="25" t="inlineStr">
        <is>
          <t>RBT-B-02</t>
        </is>
      </c>
      <c r="B49" s="25" t="inlineStr">
        <is>
          <t>RBT</t>
        </is>
      </c>
      <c r="C49" s="25" t="inlineStr">
        <is>
          <t>Infra</t>
        </is>
      </c>
      <c r="D49" s="25" t="inlineStr">
        <is>
          <t>Performance</t>
        </is>
      </c>
      <c r="E49" s="25" t="inlineStr">
        <is>
          <t>Bulk</t>
        </is>
      </c>
      <c r="F49" s="25" t="inlineStr">
        <is>
          <t>Send high value transfers repeatedly</t>
        </is>
      </c>
      <c r="G49" s="25" t="inlineStr">
        <is>
          <t>API</t>
        </is>
      </c>
      <c r="H49" s="25" t="inlineStr">
        <is>
          <t>Multi</t>
        </is>
      </c>
      <c r="I49" s="25" t="inlineStr">
        <is>
          <t>All succeed</t>
        </is>
      </c>
      <c r="J49" s="25" t="inlineStr">
        <is>
          <t>Measure speed; no rounding drift</t>
        </is>
      </c>
      <c r="K49" s="25" t="inlineStr">
        <is>
          <t>P0</t>
        </is>
      </c>
      <c r="L49" s="25" t="n"/>
      <c r="M49" s="25" t="inlineStr">
        <is>
          <t>RBT-074</t>
        </is>
      </c>
      <c r="N49" s="25" t="inlineStr">
        <is>
          <t>master</t>
        </is>
      </c>
      <c r="O49" s="25" t="n"/>
      <c r="P49" s="26" t="inlineStr">
        <is>
          <t>OK</t>
        </is>
      </c>
      <c r="Q49" s="25" t="n"/>
    </row>
    <row r="50" ht="34.5" customHeight="1" s="14">
      <c r="A50" s="25" t="inlineStr">
        <is>
          <t>RBT-B-03</t>
        </is>
      </c>
      <c r="B50" s="25" t="inlineStr">
        <is>
          <t>RBT</t>
        </is>
      </c>
      <c r="C50" s="25" t="inlineStr">
        <is>
          <t>Infra</t>
        </is>
      </c>
      <c r="D50" s="25" t="inlineStr">
        <is>
          <t>Performance</t>
        </is>
      </c>
      <c r="E50" s="25" t="inlineStr">
        <is>
          <t>Bulk</t>
        </is>
      </c>
      <c r="F50" s="25" t="inlineStr">
        <is>
          <t>Raise parallel transfers step by step and plot pass rate</t>
        </is>
      </c>
      <c r="G50" s="25" t="inlineStr">
        <is>
          <t>API-RACE</t>
        </is>
      </c>
      <c r="H50" s="25" t="inlineStr">
        <is>
          <t>Single</t>
        </is>
      </c>
      <c r="I50" s="25" t="inlineStr">
        <is>
          <t>Find where it slows and where it fails</t>
        </is>
      </c>
      <c r="J50" s="25" t="inlineStr">
        <is>
          <t>Build a pass rate chart against parallel count</t>
        </is>
      </c>
      <c r="K50" s="25" t="inlineStr">
        <is>
          <t>P0</t>
        </is>
      </c>
      <c r="L50" s="25" t="n"/>
      <c r="M50" s="25" t="inlineStr">
        <is>
          <t>RBT-075</t>
        </is>
      </c>
      <c r="N50" s="25" t="inlineStr">
        <is>
          <t>master</t>
        </is>
      </c>
      <c r="O50" s="25" t="n"/>
      <c r="P50" s="26" t="inlineStr">
        <is>
          <t>One parallel ladder: 5, 25, 50, 100, 200 concurrent transfers through one quorum. Verify all of it in one run: Pass rate and time per step; record the slowdown point and the failure point. Repeat across 5, 25, 50, 100, 200 concurrent, and report each assertion separately so one failure cannot hide the others. Also covers RBT-N-02, RBT-N-03, RBT-N-04, RBT-N-05, RBT-N-06.</t>
        </is>
      </c>
      <c r="Q50" s="25" t="n"/>
    </row>
    <row r="51" ht="24" customHeight="1" s="14">
      <c r="A51" s="25" t="inlineStr">
        <is>
          <t>RBT-B-05</t>
        </is>
      </c>
      <c r="B51" s="25" t="inlineStr">
        <is>
          <t>RBT</t>
        </is>
      </c>
      <c r="C51" s="25" t="inlineStr">
        <is>
          <t>Infra</t>
        </is>
      </c>
      <c r="D51" s="25" t="inlineStr">
        <is>
          <t>Performance</t>
        </is>
      </c>
      <c r="E51" s="25" t="inlineStr">
        <is>
          <t>Bulk</t>
        </is>
      </c>
      <c r="F51" s="25" t="inlineStr">
        <is>
          <t>Many decimal transfers that force splits</t>
        </is>
      </c>
      <c r="G51" s="25" t="inlineStr">
        <is>
          <t>API</t>
        </is>
      </c>
      <c r="H51" s="25" t="inlineStr">
        <is>
          <t>Multi</t>
        </is>
      </c>
      <c r="I51" s="25" t="inlineStr">
        <is>
          <t>All succeed</t>
        </is>
      </c>
      <c r="J51" s="25" t="inlineStr">
        <is>
          <t>Compare speed against whole token transfers</t>
        </is>
      </c>
      <c r="K51" s="25" t="inlineStr">
        <is>
          <t>P0</t>
        </is>
      </c>
      <c r="L51" s="25" t="inlineStr">
        <is>
          <t>core/parts/split.go:18</t>
        </is>
      </c>
      <c r="M51" s="25" t="inlineStr">
        <is>
          <t>RBT-077</t>
        </is>
      </c>
      <c r="N51" s="25" t="inlineStr">
        <is>
          <t>master</t>
        </is>
      </c>
      <c r="O51" s="25" t="n"/>
      <c r="P51" s="26" t="inlineStr">
        <is>
          <t>OK</t>
        </is>
      </c>
      <c r="Q51" s="25" t="n"/>
    </row>
    <row r="52" ht="34.5" customHeight="1" s="14">
      <c r="A52" s="25" t="inlineStr">
        <is>
          <t>RBT-B-06</t>
        </is>
      </c>
      <c r="B52" s="25" t="inlineStr">
        <is>
          <t>RBT</t>
        </is>
      </c>
      <c r="C52" s="25" t="inlineStr">
        <is>
          <t>Infra</t>
        </is>
      </c>
      <c r="D52" s="25" t="inlineStr">
        <is>
          <t>Performance</t>
        </is>
      </c>
      <c r="E52" s="25" t="inlineStr">
        <is>
          <t>Bulk</t>
        </is>
      </c>
      <c r="F52" s="25" t="inlineStr">
        <is>
          <t>Run transfers non stop for 4 hours</t>
        </is>
      </c>
      <c r="G52" s="25" t="inlineStr">
        <is>
          <t>API-RACE</t>
        </is>
      </c>
      <c r="H52" s="25" t="inlineStr">
        <is>
          <t>Multi</t>
        </is>
      </c>
      <c r="I52" s="25" t="inlineStr">
        <is>
          <t>Stays stable</t>
        </is>
      </c>
      <c r="J52" s="25" t="inlineStr">
        <is>
          <t>Memory steady; speed steady; balances exact</t>
        </is>
      </c>
      <c r="K52" s="25" t="inlineStr">
        <is>
          <t>P0</t>
        </is>
      </c>
      <c r="L52" s="25" t="inlineStr">
        <is>
          <t>core/resource_monitor.go</t>
        </is>
      </c>
      <c r="M52" s="25" t="inlineStr">
        <is>
          <t>RBT-078</t>
        </is>
      </c>
      <c r="N52" s="25" t="inlineStr">
        <is>
          <t>master</t>
        </is>
      </c>
      <c r="O52" s="25" t="n"/>
      <c r="P52" s="26" t="inlineStr">
        <is>
          <t>OK (record-only) - 4h soak; schedule outside a normal cycle.</t>
        </is>
      </c>
      <c r="Q52" s="25" t="n"/>
    </row>
    <row r="53" ht="34.5" customHeight="1" s="14">
      <c r="A53" s="25" t="inlineStr">
        <is>
          <t>RBT-B-07</t>
        </is>
      </c>
      <c r="B53" s="25" t="inlineStr">
        <is>
          <t>RBT</t>
        </is>
      </c>
      <c r="C53" s="25" t="inlineStr">
        <is>
          <t>Infra</t>
        </is>
      </c>
      <c r="D53" s="25" t="inlineStr">
        <is>
          <t>Performance</t>
        </is>
      </c>
      <c r="E53" s="25" t="inlineStr">
        <is>
          <t>Bulk</t>
        </is>
      </c>
      <c r="F53" s="25" t="inlineStr">
        <is>
          <t>Time transfers as chain history grows</t>
        </is>
      </c>
      <c r="G53" s="25" t="inlineStr">
        <is>
          <t>API</t>
        </is>
      </c>
      <c r="H53" s="25" t="inlineStr">
        <is>
          <t>Multi</t>
        </is>
      </c>
      <c r="I53" s="25" t="inlineStr">
        <is>
          <t>Stays usable</t>
        </is>
      </c>
      <c r="J53" s="25" t="inlineStr">
        <is>
          <t>Measure at 1 10 50 and 100 hops</t>
        </is>
      </c>
      <c r="K53" s="25" t="inlineStr">
        <is>
          <t>P0</t>
        </is>
      </c>
      <c r="L53" s="25" t="n"/>
      <c r="M53" s="25" t="inlineStr">
        <is>
          <t>RBT-079</t>
        </is>
      </c>
      <c r="N53" s="25" t="inlineStr">
        <is>
          <t>master</t>
        </is>
      </c>
      <c r="O53" s="25" t="n"/>
      <c r="P53" s="26" t="inlineStr">
        <is>
          <t>OK (record-only)</t>
        </is>
      </c>
      <c r="Q53" s="25" t="n"/>
    </row>
    <row r="54" ht="15" customHeight="1" s="14">
      <c r="A54" s="25" t="inlineStr">
        <is>
          <t>RBT-B-08</t>
        </is>
      </c>
      <c r="B54" s="25" t="inlineStr">
        <is>
          <t>RBT</t>
        </is>
      </c>
      <c r="C54" s="25" t="inlineStr">
        <is>
          <t>Infra</t>
        </is>
      </c>
      <c r="D54" s="25" t="inlineStr">
        <is>
          <t>Performance</t>
        </is>
      </c>
      <c r="E54" s="25" t="inlineStr">
        <is>
          <t>Bulk</t>
        </is>
      </c>
      <c r="F54" s="25" t="inlineStr">
        <is>
          <t>Time transfers as the wallet grows</t>
        </is>
      </c>
      <c r="G54" s="25" t="inlineStr">
        <is>
          <t>API</t>
        </is>
      </c>
      <c r="H54" s="25" t="inlineStr">
        <is>
          <t>Single</t>
        </is>
      </c>
      <c r="I54" s="25" t="inlineStr">
        <is>
          <t>Stays usable</t>
        </is>
      </c>
      <c r="J54" s="25" t="inlineStr">
        <is>
          <t>Measure at 10 100 1000 and 10000 tokens held</t>
        </is>
      </c>
      <c r="K54" s="25" t="inlineStr">
        <is>
          <t>P0</t>
        </is>
      </c>
      <c r="L54" s="25" t="inlineStr">
        <is>
          <t>core/wallet/token_lock.go:40</t>
        </is>
      </c>
      <c r="M54" s="25" t="inlineStr">
        <is>
          <t>RBT-080</t>
        </is>
      </c>
      <c r="N54" s="25" t="inlineStr">
        <is>
          <t>master</t>
        </is>
      </c>
      <c r="O54" s="25" t="n"/>
      <c r="P54" s="26" t="inlineStr">
        <is>
          <t>OK (record-only)</t>
        </is>
      </c>
      <c r="Q54" s="25" t="n"/>
    </row>
    <row r="55" ht="24" customHeight="1" s="14">
      <c r="A55" s="25" t="inlineStr">
        <is>
          <t>RBT-B-09</t>
        </is>
      </c>
      <c r="B55" s="25" t="inlineStr">
        <is>
          <t>RBT</t>
        </is>
      </c>
      <c r="C55" s="25" t="inlineStr">
        <is>
          <t>Code</t>
        </is>
      </c>
      <c r="D55" s="25" t="inlineStr">
        <is>
          <t>Performance</t>
        </is>
      </c>
      <c r="E55" s="25" t="inlineStr">
        <is>
          <t>Bulk</t>
        </is>
      </c>
      <c r="F55" s="25" t="inlineStr">
        <is>
          <t>Transfer 1000 RBT, repeated 100 times, with a 1-2 minute gap between iterations</t>
        </is>
      </c>
      <c r="G55" s="25" t="inlineStr">
        <is>
          <t>API</t>
        </is>
      </c>
      <c r="H55" s="25" t="inlineStr">
        <is>
          <t>Single</t>
        </is>
      </c>
      <c r="I55" s="25" t="inlineStr">
        <is>
          <t>All 100 iterations succeed</t>
        </is>
      </c>
      <c r="J55" s="25" t="n"/>
      <c r="K55" s="25" t="inlineStr">
        <is>
          <t>P0</t>
        </is>
      </c>
      <c r="L55" s="25" t="n"/>
      <c r="M55" s="25" t="n"/>
      <c r="N55" s="25" t="n"/>
      <c r="O55" s="25" t="n"/>
      <c r="P55" s="26" t="inlineStr">
        <is>
          <t>The gap is part of the test - a back-to-back soak does not reproduce the failures seen in long runs. Record per iteration: pass or fail with the exact error, duration, and the quorum's free, pledged and locked counts. Watch for pledged or locked growing monotonically: that means unpledge is not keeping up and the quorum is losing capacity. Report the iteration number of the first failure, not a pass rate.</t>
        </is>
      </c>
      <c r="Q55" s="25" t="n"/>
    </row>
    <row r="56" ht="24" customHeight="1" s="14">
      <c r="A56" s="25" t="inlineStr">
        <is>
          <t>RBT-IN-04</t>
        </is>
      </c>
      <c r="B56" s="25" t="inlineStr">
        <is>
          <t>RBT</t>
        </is>
      </c>
      <c r="C56" s="25" t="inlineStr">
        <is>
          <t>Code</t>
        </is>
      </c>
      <c r="D56" s="25" t="inlineStr">
        <is>
          <t>Functional</t>
        </is>
      </c>
      <c r="E56" s="25" t="inlineStr">
        <is>
          <t>Integrity</t>
        </is>
      </c>
      <c r="F56" s="25" t="inlineStr">
        <is>
          <t>Present a token that belongs to a different network or swarm</t>
        </is>
      </c>
      <c r="G56" s="25" t="inlineStr">
        <is>
          <t>API</t>
        </is>
      </c>
      <c r="H56" s="25" t="inlineStr">
        <is>
          <t>Single</t>
        </is>
      </c>
      <c r="I56" s="25" t="inlineStr">
        <is>
          <t>Rejected</t>
        </is>
      </c>
      <c r="J56" s="25" t="n"/>
      <c r="K56" s="25" t="inlineStr">
        <is>
          <t>P0</t>
        </is>
      </c>
      <c r="L56" s="25" t="inlineStr">
        <is>
          <t>core/consensus/checks.go:437-455; constants/constants.go:13-14</t>
        </is>
      </c>
      <c r="M56" s="25" t="n"/>
      <c r="N56" s="25" t="n"/>
      <c r="O56" s="25" t="n"/>
      <c r="P56" s="26" t="inlineStr">
        <is>
          <t>Token level is network-scoped: valid levels are &gt;= 50000. Try a wrong-level token and one carried in from another custom swarm.</t>
        </is>
      </c>
      <c r="Q56" s="25" t="n"/>
    </row>
    <row r="57" ht="24" customHeight="1" s="14">
      <c r="A57" s="25" t="inlineStr">
        <is>
          <t>RBT-ND-01</t>
        </is>
      </c>
      <c r="B57" s="25" t="inlineStr">
        <is>
          <t>RBT</t>
        </is>
      </c>
      <c r="C57" s="25" t="inlineStr">
        <is>
          <t>Code</t>
        </is>
      </c>
      <c r="D57" s="25" t="inlineStr">
        <is>
          <t>Functional</t>
        </is>
      </c>
      <c r="E57" s="25" t="inlineStr">
        <is>
          <t>Node</t>
        </is>
      </c>
      <c r="F57" s="25" t="inlineStr">
        <is>
          <t>Transfer, restart the sender, then transfer again</t>
        </is>
      </c>
      <c r="G57" s="25" t="inlineStr">
        <is>
          <t>NODE-KILL</t>
        </is>
      </c>
      <c r="H57" s="25" t="inlineStr">
        <is>
          <t>Single</t>
        </is>
      </c>
      <c r="I57" s="25" t="inlineStr">
        <is>
          <t>Both succeed</t>
        </is>
      </c>
      <c r="J57" s="25" t="inlineStr">
        <is>
          <t>Wallet and quorum registration both survive the restart</t>
        </is>
      </c>
      <c r="K57" s="25" t="inlineStr">
        <is>
          <t>P0</t>
        </is>
      </c>
      <c r="L57" s="25" t="n"/>
      <c r="M57" s="25" t="n"/>
      <c r="N57" s="25" t="n"/>
      <c r="O57" s="25" t="n"/>
      <c r="P57" s="26" t="inlineStr">
        <is>
          <t>Restart a node, then operate again with tokens created before the restart. Verify all of it in one run, once per asset: an RBT transfer succeeds; an FT mint from pre-restart tokens succeeds; an NFT executes and its SUBSCRIPTION survived the restart; a contract executes and its registered CALLBACK still fires; a combined call succeeds. Report each asset separately. Also covers FT-ND-01, FT-ND-03, NFT-ND-01, NFT-ND-02, SC-ND-01, SC-ND-02, CRS-ND-01, RBT-ND-03. (NODE-KILL - needs restart orchestration.)</t>
        </is>
      </c>
      <c r="Q57" s="25" t="n"/>
    </row>
    <row r="58" ht="24" customHeight="1" s="14">
      <c r="A58" s="25" t="inlineStr">
        <is>
          <t>RBT-ND-02</t>
        </is>
      </c>
      <c r="B58" s="25" t="inlineStr">
        <is>
          <t>RBT</t>
        </is>
      </c>
      <c r="C58" s="25" t="inlineStr">
        <is>
          <t>Code</t>
        </is>
      </c>
      <c r="D58" s="25" t="inlineStr">
        <is>
          <t>Functional</t>
        </is>
      </c>
      <c r="E58" s="25" t="inlineStr">
        <is>
          <t>Node</t>
        </is>
      </c>
      <c r="F58" s="25" t="inlineStr">
        <is>
          <t>Restart a node in the middle of a transfer</t>
        </is>
      </c>
      <c r="G58" s="25" t="inlineStr">
        <is>
          <t>NODE-KILL</t>
        </is>
      </c>
      <c r="H58" s="25" t="inlineStr">
        <is>
          <t>Single</t>
        </is>
      </c>
      <c r="I58" s="25" t="inlineStr">
        <is>
          <t>Record the behaviour</t>
        </is>
      </c>
      <c r="J58" s="25" t="inlineStr">
        <is>
          <t>Either it completes or it fails cleanly - value must not be lost or duplicated</t>
        </is>
      </c>
      <c r="K58" s="25" t="inlineStr">
        <is>
          <t>P0</t>
        </is>
      </c>
      <c r="L58" s="25" t="inlineStr">
        <is>
          <t>core/transaction.go:70</t>
        </is>
      </c>
      <c r="M58" s="25" t="n"/>
      <c r="N58" s="25" t="n"/>
      <c r="O58" s="25" t="n"/>
      <c r="P58" s="26" t="inlineStr">
        <is>
          <t>Restart a node in the MIDDLE of an operation. Verify all of it in one run: Record what happens for each asset - whether it fails cleanly, recovers, or leaves value stuck. Repeat for RBT, FT, NFT ownership transfer, contract execute and a combined call. Also covers FT-ND-02, NFT-ND-03, SC-ND-03, CRS-ND-02, and report each assertion separately. (NODE-KILL (record-only))</t>
        </is>
      </c>
      <c r="Q58" s="25" t="n"/>
    </row>
    <row r="59" ht="24" customHeight="1" s="14">
      <c r="A59" s="25" t="inlineStr">
        <is>
          <t>RBT-DB-03</t>
        </is>
      </c>
      <c r="B59" s="25" t="inlineStr">
        <is>
          <t>RBT</t>
        </is>
      </c>
      <c r="C59" s="25" t="inlineStr">
        <is>
          <t>Code</t>
        </is>
      </c>
      <c r="D59" s="25" t="inlineStr">
        <is>
          <t>Functional</t>
        </is>
      </c>
      <c r="E59" s="25" t="inlineStr">
        <is>
          <t>DB Failure</t>
        </is>
      </c>
      <c r="F59" s="25" t="inlineStr">
        <is>
          <t>Set the denomination counter higher than the real tokens</t>
        </is>
      </c>
      <c r="G59" s="25" t="inlineStr">
        <is>
          <t>DB-SEED</t>
        </is>
      </c>
      <c r="H59" s="25" t="inlineStr">
        <is>
          <t>Single</t>
        </is>
      </c>
      <c r="I59" s="25" t="inlineStr">
        <is>
          <t>Record the behaviour</t>
        </is>
      </c>
      <c r="J59" s="25" t="inlineStr">
        <is>
          <t>This is the corruption real bugs produce - confirms how it surfaces</t>
        </is>
      </c>
      <c r="K59" s="25" t="inlineStr">
        <is>
          <t>P0</t>
        </is>
      </c>
      <c r="L59" s="25" t="inlineStr">
        <is>
          <t>core/wallet/token_lock.go:505</t>
        </is>
      </c>
      <c r="M59" s="25" t="n"/>
      <c r="N59" s="25" t="n"/>
      <c r="O59" s="25" t="n"/>
      <c r="P59" s="26" t="inlineStr">
        <is>
          <t>IN SCOPE - inflated denom counter. This is the exact state the counter bugs produce, so it is worth keeping permanently.</t>
        </is>
      </c>
      <c r="Q59" s="25" t="n"/>
    </row>
    <row r="60" ht="24" customFormat="1" customHeight="1" s="18">
      <c r="A60" s="25" t="inlineStr">
        <is>
          <t>FT-M-02</t>
        </is>
      </c>
      <c r="B60" s="25" t="inlineStr">
        <is>
          <t>FT</t>
        </is>
      </c>
      <c r="C60" s="25" t="inlineStr">
        <is>
          <t>Code</t>
        </is>
      </c>
      <c r="D60" s="25" t="inlineStr">
        <is>
          <t>Functional</t>
        </is>
      </c>
      <c r="E60" s="25" t="inlineStr">
        <is>
          <t>Mint</t>
        </is>
      </c>
      <c r="F60" s="25" t="inlineStr">
        <is>
          <t>Create the same FT name again from the same DID</t>
        </is>
      </c>
      <c r="G60" s="25" t="inlineStr">
        <is>
          <t>API</t>
        </is>
      </c>
      <c r="H60" s="25" t="inlineStr">
        <is>
          <t>Single</t>
        </is>
      </c>
      <c r="I60" s="25" t="inlineStr">
        <is>
          <t>Succeeds and count adds on</t>
        </is>
      </c>
      <c r="J60" s="25" t="inlineStr">
        <is>
          <t>No duplicate series; total is the sum</t>
        </is>
      </c>
      <c r="K60" s="25" t="inlineStr">
        <is>
          <t>P0</t>
        </is>
      </c>
      <c r="L60" s="25" t="inlineStr">
        <is>
          <t>core/ft.go:196</t>
        </is>
      </c>
      <c r="M60" s="25" t="n"/>
      <c r="N60" s="25" t="n"/>
      <c r="O60" s="25" t="n"/>
      <c r="P60" s="26" t="inlineStr">
        <is>
          <t>OK - verified: re-mint of the same (ft_name, creator_did) accumulates via ON CONFLICT DO UPDATE (core/ft.go:198). It does not error and does not create a second series.</t>
        </is>
      </c>
      <c r="Q60" s="25" t="n"/>
    </row>
    <row r="61" ht="24" customHeight="1" s="14">
      <c r="A61" s="25" t="inlineStr">
        <is>
          <t>FT-M-03</t>
        </is>
      </c>
      <c r="B61" s="25" t="inlineStr">
        <is>
          <t>FT</t>
        </is>
      </c>
      <c r="C61" s="25" t="inlineStr">
        <is>
          <t>Code</t>
        </is>
      </c>
      <c r="D61" s="25" t="inlineStr">
        <is>
          <t>Functional</t>
        </is>
      </c>
      <c r="E61" s="25" t="inlineStr">
        <is>
          <t>Mint</t>
        </is>
      </c>
      <c r="F61" s="25" t="inlineStr">
        <is>
          <t>Create the same FT name from a different DID</t>
        </is>
      </c>
      <c r="G61" s="25" t="inlineStr">
        <is>
          <t>API</t>
        </is>
      </c>
      <c r="H61" s="25" t="inlineStr">
        <is>
          <t>Single</t>
        </is>
      </c>
      <c r="I61" s="25" t="inlineStr">
        <is>
          <t>Separate series created</t>
        </is>
      </c>
      <c r="J61" s="25" t="inlineStr">
        <is>
          <t>Two series with the same name do not mix</t>
        </is>
      </c>
      <c r="K61" s="25" t="inlineStr">
        <is>
          <t>P1</t>
        </is>
      </c>
      <c r="L61" s="25" t="inlineStr">
        <is>
          <t>core/ft.go:198</t>
        </is>
      </c>
      <c r="M61" s="25" t="n"/>
      <c r="N61" s="25" t="n"/>
      <c r="O61" s="25" t="n"/>
      <c r="P61" s="26" t="inlineStr">
        <is>
          <t>OK - different creator DID is a different series by the same key.</t>
        </is>
      </c>
      <c r="Q61" s="25" t="n"/>
    </row>
    <row r="62" ht="24" customHeight="1" s="14">
      <c r="A62" s="25" t="inlineStr">
        <is>
          <t>FT-M-04</t>
        </is>
      </c>
      <c r="B62" s="25" t="inlineStr">
        <is>
          <t>FT</t>
        </is>
      </c>
      <c r="C62" s="25" t="inlineStr">
        <is>
          <t>Code</t>
        </is>
      </c>
      <c r="D62" s="25" t="inlineStr">
        <is>
          <t>Functional</t>
        </is>
      </c>
      <c r="E62" s="25" t="inlineStr">
        <is>
          <t>Mint</t>
        </is>
      </c>
      <c r="F62" s="25" t="inlineStr">
        <is>
          <t>Create exactly 1000 FTs from 1 RBT</t>
        </is>
      </c>
      <c r="G62" s="25" t="inlineStr">
        <is>
          <t>API</t>
        </is>
      </c>
      <c r="H62" s="25" t="inlineStr">
        <is>
          <t>Single</t>
        </is>
      </c>
      <c r="I62" s="25" t="inlineStr">
        <is>
          <t>Succeeds at the limit</t>
        </is>
      </c>
      <c r="J62" s="25" t="inlineStr">
        <is>
          <t>Count exact; RBT burnt</t>
        </is>
      </c>
      <c r="K62" s="25" t="inlineStr">
        <is>
          <t>P0</t>
        </is>
      </c>
      <c r="L62" s="25" t="inlineStr">
        <is>
          <t>core/ft.go:70</t>
        </is>
      </c>
      <c r="M62" s="25" t="n"/>
      <c r="N62" s="25" t="n"/>
      <c r="O62" s="25" t="n"/>
      <c r="P62" s="26" t="inlineStr">
        <is>
          <t>Mint 1000 FT from 1 RBT, then 1001 from 1 RBT. Verify all of it in one run: 1000 succeeds at the cap, 1001 is rejected (FTCount &lt;= TokenCount*1000, core/ft.go:65-72). Repeat across at 1 RBT, 5 RBT and 10 RBT - the cap is per whole token, so test the ratio not one number, and report each assertion separately so one failure cannot hide the others. Also covers FT-M-05.</t>
        </is>
      </c>
      <c r="Q62" s="25" t="n"/>
    </row>
    <row r="63" ht="24" customHeight="1" s="14">
      <c r="A63" s="25" t="inlineStr">
        <is>
          <t>FT-M-08</t>
        </is>
      </c>
      <c r="B63" s="25" t="inlineStr">
        <is>
          <t>FT</t>
        </is>
      </c>
      <c r="C63" s="25" t="inlineStr">
        <is>
          <t>Infra</t>
        </is>
      </c>
      <c r="D63" s="25" t="inlineStr">
        <is>
          <t>Functional</t>
        </is>
      </c>
      <c r="E63" s="25" t="inlineStr">
        <is>
          <t>Mint</t>
        </is>
      </c>
      <c r="F63" s="25" t="inlineStr">
        <is>
          <t>Climb the mint size ladder until it fails</t>
        </is>
      </c>
      <c r="G63" s="25" t="inlineStr">
        <is>
          <t>API</t>
        </is>
      </c>
      <c r="H63" s="25" t="inlineStr">
        <is>
          <t>Single</t>
        </is>
      </c>
      <c r="I63" s="25" t="inlineStr">
        <is>
          <t>Record the largest mint that works</t>
        </is>
      </c>
      <c r="J63" s="25" t="inlineStr">
        <is>
          <t>Note the failure reason at the limit</t>
        </is>
      </c>
      <c r="K63" s="25" t="inlineStr">
        <is>
          <t>P0</t>
        </is>
      </c>
      <c r="L63" s="25" t="n"/>
      <c r="M63" s="25" t="n"/>
      <c r="N63" s="25" t="n"/>
      <c r="O63" s="25" t="n"/>
      <c r="P63" s="26" t="inlineStr">
        <is>
          <t>One mint-size ladder: 10000 from 10 RBT, 100000 from 100 RBT, climbing until it fails. Verify all of it in one run: Record the largest mint that works and the time each took. Repeat across 10000 from 10 RBT, 100000 from 100 RBT, then climb, and report each assertion separately so one failure cannot hide the others. Also covers FT-M-06, FT-M-07.</t>
        </is>
      </c>
      <c r="Q63" s="25" t="n"/>
    </row>
    <row r="64" ht="24" customHeight="1" s="14">
      <c r="A64" s="25" t="inlineStr">
        <is>
          <t>FT-M-09</t>
        </is>
      </c>
      <c r="B64" s="25" t="inlineStr">
        <is>
          <t>FT</t>
        </is>
      </c>
      <c r="C64" s="25" t="inlineStr">
        <is>
          <t>Code</t>
        </is>
      </c>
      <c r="D64" s="25" t="inlineStr">
        <is>
          <t>Functional</t>
        </is>
      </c>
      <c r="E64" s="25" t="inlineStr">
        <is>
          <t>Mint</t>
        </is>
      </c>
      <c r="F64" s="25" t="inlineStr">
        <is>
          <t>Create FT with count of zero or negative</t>
        </is>
      </c>
      <c r="G64" s="25" t="inlineStr">
        <is>
          <t>API</t>
        </is>
      </c>
      <c r="H64" s="25" t="inlineStr">
        <is>
          <t>Single</t>
        </is>
      </c>
      <c r="I64" s="25" t="inlineStr">
        <is>
          <t>Rejected</t>
        </is>
      </c>
      <c r="J64" s="25" t="inlineStr">
        <is>
          <t>Nothing created</t>
        </is>
      </c>
      <c r="K64" s="25" t="inlineStr">
        <is>
          <t>P1</t>
        </is>
      </c>
      <c r="L64" s="25" t="inlineStr">
        <is>
          <t>core/ft.go:66</t>
        </is>
      </c>
      <c r="M64" s="25" t="n"/>
      <c r="N64" s="25" t="n"/>
      <c r="O64" s="25" t="n"/>
      <c r="P64" s="26" t="inlineStr">
        <is>
          <t>Four invalid mint attempts in one case. Verify all of it in one run: FT count &lt;= 0, RBT count &lt;= 0, insufficient RBT, and an invalid creator DID are each rejected with a distinct message. Repeat across four invalid inputs in one run, and report each assertion separately so one failure cannot hide the others. Also covers FT-M-10, FT-M-11, FT-M-12.</t>
        </is>
      </c>
      <c r="Q64" s="25" t="n"/>
    </row>
    <row r="65" ht="24" customHeight="1" s="14">
      <c r="A65" s="25" t="inlineStr">
        <is>
          <t>FT-M-13</t>
        </is>
      </c>
      <c r="B65" s="25" t="inlineStr">
        <is>
          <t>FT</t>
        </is>
      </c>
      <c r="C65" s="25" t="inlineStr">
        <is>
          <t>Code</t>
        </is>
      </c>
      <c r="D65" s="25" t="inlineStr">
        <is>
          <t>Functional</t>
        </is>
      </c>
      <c r="E65" s="25" t="inlineStr">
        <is>
          <t>Mint</t>
        </is>
      </c>
      <c r="F65" s="25" t="inlineStr">
        <is>
          <t>Create FT using RBT that needs splitting first</t>
        </is>
      </c>
      <c r="G65" s="25" t="inlineStr">
        <is>
          <t>API</t>
        </is>
      </c>
      <c r="H65" s="25" t="inlineStr">
        <is>
          <t>Single</t>
        </is>
      </c>
      <c r="I65" s="25" t="inlineStr">
        <is>
          <t>Succeeds</t>
        </is>
      </c>
      <c r="J65" s="25" t="inlineStr">
        <is>
          <t>Split happens before the mint; values still exact</t>
        </is>
      </c>
      <c r="K65" s="25" t="inlineStr">
        <is>
          <t>P0</t>
        </is>
      </c>
      <c r="L65" s="25" t="inlineStr">
        <is>
          <t>core/ft.go:94</t>
        </is>
      </c>
      <c r="M65" s="25" t="n"/>
      <c r="N65" s="25" t="n"/>
      <c r="O65" s="25" t="n"/>
      <c r="P65" s="26" t="inlineStr">
        <is>
          <t>OK - mint from a wallet needing a split first. Good: it crosses the burn and split paths at once. Build the wallet this case needs before starting - never skip on shape. See 'Wallet preparation' in the Legend.</t>
        </is>
      </c>
      <c r="Q65" s="25" t="n"/>
    </row>
    <row r="66" ht="15" customHeight="1" s="14">
      <c r="A66" s="25" t="inlineStr">
        <is>
          <t>FT-M-14</t>
        </is>
      </c>
      <c r="B66" s="25" t="inlineStr">
        <is>
          <t>FT</t>
        </is>
      </c>
      <c r="C66" s="25" t="inlineStr">
        <is>
          <t>Code</t>
        </is>
      </c>
      <c r="D66" s="25" t="inlineStr">
        <is>
          <t>Functional</t>
        </is>
      </c>
      <c r="E66" s="25" t="inlineStr">
        <is>
          <t>Mint</t>
        </is>
      </c>
      <c r="F66" s="25" t="inlineStr">
        <is>
          <t>Two mints of the same FT name at the same time</t>
        </is>
      </c>
      <c r="G66" s="25" t="inlineStr">
        <is>
          <t>API-RACE</t>
        </is>
      </c>
      <c r="H66" s="25" t="inlineStr">
        <is>
          <t>Single</t>
        </is>
      </c>
      <c r="I66" s="25" t="inlineStr">
        <is>
          <t>Both succeed and counts add correctly</t>
        </is>
      </c>
      <c r="J66" s="25" t="inlineStr">
        <is>
          <t>No lost updates on the shared count</t>
        </is>
      </c>
      <c r="K66" s="25" t="inlineStr">
        <is>
          <t>P0</t>
        </is>
      </c>
      <c r="L66" s="25" t="inlineStr">
        <is>
          <t>core/ft.go:196</t>
        </is>
      </c>
      <c r="M66" s="25" t="n"/>
      <c r="N66" s="25" t="n"/>
      <c r="O66" s="25" t="n"/>
      <c r="P66" s="26" t="inlineStr">
        <is>
          <t>OK - concurrent mints of one series. The ON CONFLICT upsert is the thing under test.</t>
        </is>
      </c>
      <c r="Q66" s="25" t="n"/>
    </row>
    <row r="67" ht="15" customHeight="1" s="14">
      <c r="A67" s="25" t="inlineStr">
        <is>
          <t>FT-T-03</t>
        </is>
      </c>
      <c r="B67" s="25" t="inlineStr">
        <is>
          <t>FT</t>
        </is>
      </c>
      <c r="C67" s="25" t="inlineStr">
        <is>
          <t>Code</t>
        </is>
      </c>
      <c r="D67" s="25" t="inlineStr">
        <is>
          <t>Functional</t>
        </is>
      </c>
      <c r="E67" s="25" t="inlineStr">
        <is>
          <t>Transfer</t>
        </is>
      </c>
      <c r="F67" s="25" t="inlineStr">
        <is>
          <t>Send the entire FT holding</t>
        </is>
      </c>
      <c r="G67" s="25" t="inlineStr">
        <is>
          <t>API</t>
        </is>
      </c>
      <c r="H67" s="25" t="inlineStr">
        <is>
          <t>Single</t>
        </is>
      </c>
      <c r="I67" s="25" t="inlineStr">
        <is>
          <t>Succeeds</t>
        </is>
      </c>
      <c r="J67" s="25" t="inlineStr">
        <is>
          <t>Sender count is zero; receiver has all</t>
        </is>
      </c>
      <c r="K67" s="25" t="inlineStr">
        <is>
          <t>P1</t>
        </is>
      </c>
      <c r="L67" s="25" t="n"/>
      <c r="M67" s="25" t="n"/>
      <c r="N67" s="25" t="n"/>
      <c r="O67" s="25" t="n"/>
      <c r="P67" s="26" t="inlineStr">
        <is>
          <t>OK</t>
        </is>
      </c>
      <c r="Q67" s="25" t="n"/>
    </row>
    <row r="68" ht="24" customHeight="1" s="14">
      <c r="A68" s="25" t="inlineStr">
        <is>
          <t>FT-T-04</t>
        </is>
      </c>
      <c r="B68" s="25" t="inlineStr">
        <is>
          <t>FT</t>
        </is>
      </c>
      <c r="C68" s="25" t="inlineStr">
        <is>
          <t>Code</t>
        </is>
      </c>
      <c r="D68" s="25" t="inlineStr">
        <is>
          <t>Functional</t>
        </is>
      </c>
      <c r="E68" s="25" t="inlineStr">
        <is>
          <t>Transfer</t>
        </is>
      </c>
      <c r="F68" s="25" t="inlineStr">
        <is>
          <t>Send one more FT than held</t>
        </is>
      </c>
      <c r="G68" s="25" t="inlineStr">
        <is>
          <t>API</t>
        </is>
      </c>
      <c r="H68" s="25" t="inlineStr">
        <is>
          <t>Single</t>
        </is>
      </c>
      <c r="I68" s="25" t="inlineStr">
        <is>
          <t>Rejected</t>
        </is>
      </c>
      <c r="J68" s="25" t="inlineStr">
        <is>
          <t>Counts unchanged; locks released</t>
        </is>
      </c>
      <c r="K68" s="25" t="inlineStr">
        <is>
          <t>P0</t>
        </is>
      </c>
      <c r="L68" s="25" t="inlineStr">
        <is>
          <t>core/transaction.go:77</t>
        </is>
      </c>
      <c r="M68" s="25" t="n"/>
      <c r="N68" s="25" t="n"/>
      <c r="O68" s="25" t="inlineStr">
        <is>
          <t>kept - core tests gross over-transfer only (NEG_FT_OVER_TRANSFER); this is the +1 boundary</t>
        </is>
      </c>
      <c r="P68" s="26" t="inlineStr">
        <is>
          <t>Five invalid transfer attempts against one funded wallet. Verify all of it in one run: Over-count, zero/negative, unknown series, misspelled name and wrong creator DID are each rejected; the wallet is unchanged afterwards. Repeat across five invalid inputs in one run, and report each assertion separately so one failure cannot hide the others. Also covers FT-T-05, FT-T-06, FT-T-07, FT-T-08.</t>
        </is>
      </c>
      <c r="Q68" s="25" t="n"/>
    </row>
    <row r="69" ht="24" customHeight="1" s="14">
      <c r="A69" s="25" t="inlineStr">
        <is>
          <t>FT-T-09</t>
        </is>
      </c>
      <c r="B69" s="25" t="inlineStr">
        <is>
          <t>FT</t>
        </is>
      </c>
      <c r="C69" s="25" t="inlineStr">
        <is>
          <t>Code</t>
        </is>
      </c>
      <c r="D69" s="25" t="inlineStr">
        <is>
          <t>Functional</t>
        </is>
      </c>
      <c r="E69" s="25" t="inlineStr">
        <is>
          <t>Transfer</t>
        </is>
      </c>
      <c r="F69" s="25" t="inlineStr">
        <is>
          <t>Send FTs to yourself</t>
        </is>
      </c>
      <c r="G69" s="25" t="inlineStr">
        <is>
          <t>API</t>
        </is>
      </c>
      <c r="H69" s="25" t="inlineStr">
        <is>
          <t>Single</t>
        </is>
      </c>
      <c r="I69" s="25" t="inlineStr">
        <is>
          <t>Succeeds and stays local</t>
        </is>
      </c>
      <c r="J69" s="25" t="inlineStr">
        <is>
          <t>Count unchanged overall; no network call</t>
        </is>
      </c>
      <c r="K69" s="25" t="inlineStr">
        <is>
          <t>P1</t>
        </is>
      </c>
      <c r="L69" s="25" t="inlineStr">
        <is>
          <t>core/transaction.go:495</t>
        </is>
      </c>
      <c r="M69" s="25" t="n"/>
      <c r="N69" s="25" t="n"/>
      <c r="O69" s="25" t="n"/>
      <c r="P69" s="26" t="inlineStr">
        <is>
          <t>OK - FT self-transfer is allowed (local-DID branch), unlike NFT.</t>
        </is>
      </c>
      <c r="Q69" s="25" t="n"/>
    </row>
    <row r="70" ht="24" customHeight="1" s="14">
      <c r="A70" s="25" t="inlineStr">
        <is>
          <t>FT-T-11</t>
        </is>
      </c>
      <c r="B70" s="25" t="inlineStr">
        <is>
          <t>FT</t>
        </is>
      </c>
      <c r="C70" s="25" t="inlineStr">
        <is>
          <t>Code</t>
        </is>
      </c>
      <c r="D70" s="25" t="inlineStr">
        <is>
          <t>Functional</t>
        </is>
      </c>
      <c r="E70" s="25" t="inlineStr">
        <is>
          <t>Transfer</t>
        </is>
      </c>
      <c r="F70" s="25" t="inlineStr">
        <is>
          <t>Send FTs back and forth several times</t>
        </is>
      </c>
      <c r="G70" s="25" t="inlineStr">
        <is>
          <t>API</t>
        </is>
      </c>
      <c r="H70" s="25" t="inlineStr">
        <is>
          <t>Single</t>
        </is>
      </c>
      <c r="I70" s="25" t="inlineStr">
        <is>
          <t>All succeed</t>
        </is>
      </c>
      <c r="J70" s="25" t="inlineStr">
        <is>
          <t>Counts exact after every round; no drift</t>
        </is>
      </c>
      <c r="K70" s="25" t="inlineStr">
        <is>
          <t>P0</t>
        </is>
      </c>
      <c r="L70" s="25" t="n"/>
      <c r="M70" s="25" t="n"/>
      <c r="N70" s="25" t="n"/>
      <c r="O70" s="25" t="n"/>
      <c r="P70" s="26" t="inlineStr">
        <is>
          <t>OK</t>
        </is>
      </c>
      <c r="Q70" s="25" t="n"/>
    </row>
    <row r="71" ht="24" customHeight="1" s="14">
      <c r="A71" s="25" t="inlineStr">
        <is>
          <t>FT-T-12</t>
        </is>
      </c>
      <c r="B71" s="25" t="inlineStr">
        <is>
          <t>FT</t>
        </is>
      </c>
      <c r="C71" s="25" t="inlineStr">
        <is>
          <t>Code</t>
        </is>
      </c>
      <c r="D71" s="25" t="inlineStr">
        <is>
          <t>Functional</t>
        </is>
      </c>
      <c r="E71" s="25" t="inlineStr">
        <is>
          <t>Transfer</t>
        </is>
      </c>
      <c r="F71" s="25" t="inlineStr">
        <is>
          <t>Send FTs from a series another node created</t>
        </is>
      </c>
      <c r="G71" s="25" t="inlineStr">
        <is>
          <t>API</t>
        </is>
      </c>
      <c r="H71" s="25" t="inlineStr">
        <is>
          <t>Single</t>
        </is>
      </c>
      <c r="I71" s="25" t="inlineStr">
        <is>
          <t>Succeeds</t>
        </is>
      </c>
      <c r="J71" s="25" t="inlineStr">
        <is>
          <t>Creator DID travels with the series</t>
        </is>
      </c>
      <c r="K71" s="25" t="inlineStr">
        <is>
          <t>P1</t>
        </is>
      </c>
      <c r="L71" s="25" t="n"/>
      <c r="M71" s="25" t="n"/>
      <c r="N71" s="25" t="n"/>
      <c r="O71" s="25" t="n"/>
      <c r="P71" s="26" t="inlineStr">
        <is>
          <t>OK - spending a series another node created.</t>
        </is>
      </c>
      <c r="Q71" s="25" t="n"/>
    </row>
    <row r="72" ht="24" customHeight="1" s="14">
      <c r="A72" s="25" t="inlineStr">
        <is>
          <t>FT-V-05</t>
        </is>
      </c>
      <c r="B72" s="25" t="inlineStr">
        <is>
          <t>FT</t>
        </is>
      </c>
      <c r="C72" s="25" t="inlineStr">
        <is>
          <t>Infra</t>
        </is>
      </c>
      <c r="D72" s="25" t="inlineStr">
        <is>
          <t>Functional</t>
        </is>
      </c>
      <c r="E72" s="25" t="inlineStr">
        <is>
          <t>Transfer Value</t>
        </is>
      </c>
      <c r="F72" s="25" t="inlineStr">
        <is>
          <t>Climb the FT count ladder until it fails</t>
        </is>
      </c>
      <c r="G72" s="25" t="inlineStr">
        <is>
          <t>API</t>
        </is>
      </c>
      <c r="H72" s="25" t="inlineStr">
        <is>
          <t>Single</t>
        </is>
      </c>
      <c r="I72" s="25" t="inlineStr">
        <is>
          <t>Record the largest transfer that works</t>
        </is>
      </c>
      <c r="J72" s="25" t="inlineStr">
        <is>
          <t>Note where and why it stops</t>
        </is>
      </c>
      <c r="K72" s="25" t="inlineStr">
        <is>
          <t>P0</t>
        </is>
      </c>
      <c r="L72" s="25" t="n"/>
      <c r="M72" s="25" t="n"/>
      <c r="N72" s="25" t="n"/>
      <c r="O72" s="25" t="n"/>
      <c r="P72" s="26" t="inlineStr">
        <is>
          <t>One ladder: 100, 1000, 10000, 100000 FTs in a single transfer, climbing until it fails. Verify all of it in one run: Record the largest count that transfers in one go. Repeat across 100, 1000, 10000, 100000 FTs, and report each assertion separately so one failure cannot hide the others. Also covers FT-V-01, FT-V-02, FT-V-03, FT-V-04.</t>
        </is>
      </c>
      <c r="Q72" s="25" t="n"/>
    </row>
    <row r="73" ht="24" customHeight="1" s="14">
      <c r="A73" s="25" t="inlineStr">
        <is>
          <t>FT-V-06</t>
        </is>
      </c>
      <c r="B73" s="25" t="inlineStr">
        <is>
          <t>FT</t>
        </is>
      </c>
      <c r="C73" s="25" t="inlineStr">
        <is>
          <t>Code</t>
        </is>
      </c>
      <c r="D73" s="25" t="inlineStr">
        <is>
          <t>Functional</t>
        </is>
      </c>
      <c r="E73" s="25" t="inlineStr">
        <is>
          <t>Transfer Value</t>
        </is>
      </c>
      <c r="F73" s="25" t="inlineStr">
        <is>
          <t>Send FTs from a wallet holding many series</t>
        </is>
      </c>
      <c r="G73" s="25" t="inlineStr">
        <is>
          <t>API</t>
        </is>
      </c>
      <c r="H73" s="25" t="inlineStr">
        <is>
          <t>Single</t>
        </is>
      </c>
      <c r="I73" s="25" t="inlineStr">
        <is>
          <t>Succeeds</t>
        </is>
      </c>
      <c r="J73" s="25" t="inlineStr">
        <is>
          <t>Picking the right series stays fast</t>
        </is>
      </c>
      <c r="K73" s="25" t="inlineStr">
        <is>
          <t>P1</t>
        </is>
      </c>
      <c r="L73" s="25" t="n"/>
      <c r="M73" s="25" t="n"/>
      <c r="N73" s="25" t="n"/>
      <c r="O73" s="25" t="n"/>
      <c r="P73" s="26" t="inlineStr">
        <is>
          <t>OK</t>
        </is>
      </c>
      <c r="Q73" s="25" t="n"/>
    </row>
    <row r="74" ht="24" customHeight="1" s="14">
      <c r="A74" s="25" t="inlineStr">
        <is>
          <t>FT-Q-03</t>
        </is>
      </c>
      <c r="B74" s="25" t="inlineStr">
        <is>
          <t>FT</t>
        </is>
      </c>
      <c r="C74" s="25" t="inlineStr">
        <is>
          <t>Code</t>
        </is>
      </c>
      <c r="D74" s="25" t="inlineStr">
        <is>
          <t>Functional</t>
        </is>
      </c>
      <c r="E74" s="25" t="inlineStr">
        <is>
          <t>Quorum Capacity</t>
        </is>
      </c>
      <c r="F74" s="25" t="inlineStr">
        <is>
          <t>40 nodes doing FT transfers through one quorum</t>
        </is>
      </c>
      <c r="G74" s="25" t="inlineStr">
        <is>
          <t>API-RACE</t>
        </is>
      </c>
      <c r="H74" s="25" t="inlineStr">
        <is>
          <t>Single</t>
        </is>
      </c>
      <c r="I74" s="25" t="inlineStr">
        <is>
          <t>Record time and pass rate</t>
        </is>
      </c>
      <c r="J74" s="25" t="inlineStr">
        <is>
          <t>Find the node limit for FT on one quorum</t>
        </is>
      </c>
      <c r="K74" s="25" t="inlineStr">
        <is>
          <t>P0</t>
        </is>
      </c>
      <c r="L74" s="25" t="n"/>
      <c r="M74" s="25" t="n"/>
      <c r="N74" s="25" t="n"/>
      <c r="O74" s="25" t="n"/>
      <c r="P74" s="26" t="inlineStr">
        <is>
          <t>One ladder: 5, 20 then 40 senders doing FT transfers through one quorum. Verify all of it in one run: Pass rate and time per step. Repeat across 5, 20, 40 senders, and report each assertion separately so one failure cannot hide the others. Also covers FT-Q-01, FT-Q-02.</t>
        </is>
      </c>
      <c r="Q74" s="25" t="n"/>
    </row>
    <row r="75" ht="24" customHeight="1" s="14">
      <c r="A75" s="25" t="inlineStr">
        <is>
          <t>FT-Q-04</t>
        </is>
      </c>
      <c r="B75" s="25" t="inlineStr">
        <is>
          <t>FT</t>
        </is>
      </c>
      <c r="C75" s="25" t="inlineStr">
        <is>
          <t>Code</t>
        </is>
      </c>
      <c r="D75" s="25" t="inlineStr">
        <is>
          <t>Functional</t>
        </is>
      </c>
      <c r="E75" s="25" t="inlineStr">
        <is>
          <t>Quorum Capacity</t>
        </is>
      </c>
      <c r="F75" s="25" t="inlineStr">
        <is>
          <t>Same 40 nodes split across 5 quorums</t>
        </is>
      </c>
      <c r="G75" s="25" t="inlineStr">
        <is>
          <t>API-RACE</t>
        </is>
      </c>
      <c r="H75" s="25" t="inlineStr">
        <is>
          <t>Multi</t>
        </is>
      </c>
      <c r="I75" s="25" t="inlineStr">
        <is>
          <t>Faster than one quorum</t>
        </is>
      </c>
      <c r="J75" s="25" t="inlineStr">
        <is>
          <t>Compare FT transfer time against FT-Q-03</t>
        </is>
      </c>
      <c r="K75" s="25" t="inlineStr">
        <is>
          <t>P0</t>
        </is>
      </c>
      <c r="L75" s="25" t="n"/>
      <c r="M75" s="25" t="n"/>
      <c r="N75" s="25" t="n"/>
      <c r="O75" s="25" t="n"/>
      <c r="P75" s="26" t="inlineStr">
        <is>
          <t>CONSTRAINT - one quorum per transaction; 'split across 5 quorums' = different senders, one quorum registered each. Confirmed against core: one transaction uses exactly ONE quorum. transactionInfo.Quorums is built as a single-element slice from quorumAddresses[0] (core/transaction.go:289-294) and so is the signature list (core/transaction.go:376-379), with QuorumRequired = MinQuorumRequired = MinConsensusRequired = 1 (core/quorum_initiator.go:17-19). The model holds a list and validation loops over it, but nothing ever fills more than one. This row is therefore only meaningful as different SENDERS using different quorums - which is worth testing - and is untestable if read as several quorums signing one transaction.</t>
        </is>
      </c>
      <c r="Q75" s="25" t="n"/>
    </row>
    <row r="76" ht="24" customHeight="1" s="14">
      <c r="A76" s="25" t="inlineStr">
        <is>
          <t>FT-Q-08</t>
        </is>
      </c>
      <c r="B76" s="25" t="inlineStr">
        <is>
          <t>FT</t>
        </is>
      </c>
      <c r="C76" s="25" t="inlineStr">
        <is>
          <t>Code</t>
        </is>
      </c>
      <c r="D76" s="25" t="inlineStr">
        <is>
          <t>Functional</t>
        </is>
      </c>
      <c r="E76" s="25" t="inlineStr">
        <is>
          <t>Quorum Capacity</t>
        </is>
      </c>
      <c r="F76" s="25" t="inlineStr">
        <is>
          <t>Check the same quorum signs every FT transfer from one sender</t>
        </is>
      </c>
      <c r="G76" s="25" t="inlineStr">
        <is>
          <t>API</t>
        </is>
      </c>
      <c r="H76" s="25" t="inlineStr">
        <is>
          <t>Multi</t>
        </is>
      </c>
      <c r="I76" s="25" t="inlineStr">
        <is>
          <t>Primary quorum should stay the same</t>
        </is>
      </c>
      <c r="J76" s="25" t="inlineStr">
        <is>
          <t>Same unsorted-query risk as the RBT case - confirm before grouping by quorum</t>
        </is>
      </c>
      <c r="K76" s="25" t="inlineStr">
        <is>
          <t>P0</t>
        </is>
      </c>
      <c r="L76" s="25" t="inlineStr">
        <is>
          <t>core/wallet/quorum.go:68</t>
        </is>
      </c>
      <c r="M76" s="25" t="n"/>
      <c r="N76" s="25" t="n"/>
      <c r="O76" s="25" t="n"/>
      <c r="P76" s="26" t="inlineStr">
        <is>
          <t>OK and IMPORTANT - GetAllQuorums has no ORDER BY (core/wallet/quorum.go:66-69), so 'primary stays the same' is NOT guaranteed. Expect this to fail; it is a product finding, not a harness bug.</t>
        </is>
      </c>
      <c r="Q76" s="25" t="n"/>
    </row>
    <row r="77" ht="15" customHeight="1" s="14">
      <c r="A77" s="25" t="inlineStr">
        <is>
          <t>FT-L-01</t>
        </is>
      </c>
      <c r="B77" s="25" t="inlineStr">
        <is>
          <t>FT</t>
        </is>
      </c>
      <c r="C77" s="25" t="inlineStr">
        <is>
          <t>Code</t>
        </is>
      </c>
      <c r="D77" s="25" t="inlineStr">
        <is>
          <t>Functional</t>
        </is>
      </c>
      <c r="E77" s="25" t="inlineStr">
        <is>
          <t>Pledging</t>
        </is>
      </c>
      <c r="F77" s="25" t="inlineStr">
        <is>
          <t>Watch pledge and unpledge during FT transfer</t>
        </is>
      </c>
      <c r="G77" s="25" t="inlineStr">
        <is>
          <t>API</t>
        </is>
      </c>
      <c r="H77" s="25" t="inlineStr">
        <is>
          <t>Single</t>
        </is>
      </c>
      <c r="I77" s="25" t="inlineStr">
        <is>
          <t>Pledge created then released</t>
        </is>
      </c>
      <c r="J77" s="25" t="inlineStr">
        <is>
          <t>No pledges left open; pledge covers the transfer</t>
        </is>
      </c>
      <c r="K77" s="25" t="inlineStr">
        <is>
          <t>P0</t>
        </is>
      </c>
      <c r="L77" s="25" t="inlineStr">
        <is>
          <t>core/pledge_v2.go:39</t>
        </is>
      </c>
      <c r="M77" s="25" t="n"/>
      <c r="N77" s="25" t="n"/>
      <c r="O77" s="25" t="n"/>
      <c r="P77" s="26" t="inlineStr">
        <is>
          <t>OK - as RBT-L-01, for the RBT backing an FT transfer. Assert the pledge is created and later released.</t>
        </is>
      </c>
      <c r="Q77" s="25" t="n"/>
    </row>
    <row r="78" ht="24" customHeight="1" s="14">
      <c r="A78" s="25" t="inlineStr">
        <is>
          <t>FT-L-02</t>
        </is>
      </c>
      <c r="B78" s="25" t="inlineStr">
        <is>
          <t>FT</t>
        </is>
      </c>
      <c r="C78" s="25" t="inlineStr">
        <is>
          <t>Code</t>
        </is>
      </c>
      <c r="D78" s="25" t="inlineStr">
        <is>
          <t>Functional</t>
        </is>
      </c>
      <c r="E78" s="25" t="inlineStr">
        <is>
          <t>Pledging</t>
        </is>
      </c>
      <c r="F78" s="25" t="inlineStr">
        <is>
          <t>FT transfer when the quorum cannot pledge</t>
        </is>
      </c>
      <c r="G78" s="25" t="inlineStr">
        <is>
          <t>API</t>
        </is>
      </c>
      <c r="H78" s="25" t="inlineStr">
        <is>
          <t>Single</t>
        </is>
      </c>
      <c r="I78" s="25" t="inlineStr">
        <is>
          <t>Rejected cleanly</t>
        </is>
      </c>
      <c r="J78" s="25" t="inlineStr">
        <is>
          <t>Counts unchanged; locks released</t>
        </is>
      </c>
      <c r="K78" s="25" t="inlineStr">
        <is>
          <t>P0</t>
        </is>
      </c>
      <c r="L78" s="25" t="n"/>
      <c r="M78" s="25" t="n"/>
      <c r="N78" s="25" t="n"/>
      <c r="O78" s="25" t="n"/>
      <c r="P78" s="26" t="inlineStr">
        <is>
          <t>OK</t>
        </is>
      </c>
      <c r="Q78" s="25" t="n"/>
    </row>
    <row r="79" ht="24" customHeight="1" s="14">
      <c r="A79" s="25" t="inlineStr">
        <is>
          <t>FT-N-01</t>
        </is>
      </c>
      <c r="B79" s="25" t="inlineStr">
        <is>
          <t>FT</t>
        </is>
      </c>
      <c r="C79" s="25" t="inlineStr">
        <is>
          <t>Code</t>
        </is>
      </c>
      <c r="D79" s="25" t="inlineStr">
        <is>
          <t>Functional</t>
        </is>
      </c>
      <c r="E79" s="25" t="inlineStr">
        <is>
          <t>Concurrency</t>
        </is>
      </c>
      <c r="F79" s="25" t="inlineStr">
        <is>
          <t>Send the same FTs to two receivers at once</t>
        </is>
      </c>
      <c r="G79" s="25" t="inlineStr">
        <is>
          <t>API-RACE</t>
        </is>
      </c>
      <c r="H79" s="25" t="inlineStr">
        <is>
          <t>Single</t>
        </is>
      </c>
      <c r="I79" s="25" t="inlineStr">
        <is>
          <t>Only one succeeds</t>
        </is>
      </c>
      <c r="J79" s="25" t="inlineStr">
        <is>
          <t>Counts exact; none created or lost</t>
        </is>
      </c>
      <c r="K79" s="25" t="inlineStr">
        <is>
          <t>P0</t>
        </is>
      </c>
      <c r="L79" s="25" t="n"/>
      <c r="M79" s="25" t="n"/>
      <c r="N79" s="25" t="n"/>
      <c r="O79" s="25" t="n"/>
      <c r="P79" s="26" t="inlineStr">
        <is>
          <t>OK - FT double-spend race.</t>
        </is>
      </c>
      <c r="Q79" s="25" t="n"/>
    </row>
    <row r="80" ht="24" customHeight="1" s="14">
      <c r="A80" s="25" t="inlineStr">
        <is>
          <t>FT-N-05</t>
        </is>
      </c>
      <c r="B80" s="25" t="inlineStr">
        <is>
          <t>FT</t>
        </is>
      </c>
      <c r="C80" s="25" t="inlineStr">
        <is>
          <t>Code</t>
        </is>
      </c>
      <c r="D80" s="25" t="inlineStr">
        <is>
          <t>Functional</t>
        </is>
      </c>
      <c r="E80" s="25" t="inlineStr">
        <is>
          <t>Concurrency</t>
        </is>
      </c>
      <c r="F80" s="25" t="inlineStr">
        <is>
          <t>200 FT transfers spread over 5 quorums</t>
        </is>
      </c>
      <c r="G80" s="25" t="inlineStr">
        <is>
          <t>API-RACE</t>
        </is>
      </c>
      <c r="H80" s="25" t="inlineStr">
        <is>
          <t>Multi</t>
        </is>
      </c>
      <c r="I80" s="25" t="inlineStr">
        <is>
          <t>Much better pass rate</t>
        </is>
      </c>
      <c r="J80" s="25" t="inlineStr">
        <is>
          <t>Compare directly against FT-N-04</t>
        </is>
      </c>
      <c r="K80" s="25" t="inlineStr">
        <is>
          <t>P0</t>
        </is>
      </c>
      <c r="L80" s="25" t="n"/>
      <c r="M80" s="25" t="n"/>
      <c r="N80" s="25" t="n"/>
      <c r="O80" s="25" t="n"/>
      <c r="P80" s="26" t="inlineStr">
        <is>
          <t>CONSTRAINT - as FT-Q-04. Confirmed against core: one transaction uses exactly ONE quorum. transactionInfo.Quorums is built as a single-element slice from quorumAddresses[0] (core/transaction.go:289-294) and so is the signature list (core/transaction.go:376-379), with QuorumRequired = MinQuorumRequired = MinConsensusRequired = 1 (core/quorum_initiator.go:17-19). The model holds a list and validation loops over it, but nothing ever fills more than one. This row is therefore only meaningful as different SENDERS using different quorums - which is worth testing - and is untestable if read as several quorums signing one transaction.</t>
        </is>
      </c>
      <c r="Q80" s="25" t="n"/>
    </row>
    <row r="81" ht="24" customHeight="1" s="14">
      <c r="A81" s="25" t="inlineStr">
        <is>
          <t>FT-N-06</t>
        </is>
      </c>
      <c r="B81" s="25" t="inlineStr">
        <is>
          <t>FT</t>
        </is>
      </c>
      <c r="C81" s="25" t="inlineStr">
        <is>
          <t>Code</t>
        </is>
      </c>
      <c r="D81" s="25" t="inlineStr">
        <is>
          <t>Functional</t>
        </is>
      </c>
      <c r="E81" s="25" t="inlineStr">
        <is>
          <t>Concurrency</t>
        </is>
      </c>
      <c r="F81" s="25" t="inlineStr">
        <is>
          <t>Many FT transfers from one wallet at once</t>
        </is>
      </c>
      <c r="G81" s="25" t="inlineStr">
        <is>
          <t>API-RACE</t>
        </is>
      </c>
      <c r="H81" s="25" t="inlineStr">
        <is>
          <t>Single</t>
        </is>
      </c>
      <c r="I81" s="25" t="inlineStr">
        <is>
          <t>All succeed or fail cleanly</t>
        </is>
      </c>
      <c r="J81" s="25" t="inlineStr">
        <is>
          <t>Final count adds up exactly</t>
        </is>
      </c>
      <c r="K81" s="25" t="inlineStr">
        <is>
          <t>P0</t>
        </is>
      </c>
      <c r="L81" s="25" t="n"/>
      <c r="M81" s="25" t="n"/>
      <c r="N81" s="25" t="n"/>
      <c r="O81" s="25" t="n"/>
      <c r="P81" s="26" t="inlineStr">
        <is>
          <t>OK</t>
        </is>
      </c>
      <c r="Q81" s="25" t="n"/>
    </row>
    <row r="82" ht="15" customHeight="1" s="14">
      <c r="A82" s="25" t="inlineStr">
        <is>
          <t>FT-N-07</t>
        </is>
      </c>
      <c r="B82" s="25" t="inlineStr">
        <is>
          <t>FT</t>
        </is>
      </c>
      <c r="C82" s="25" t="inlineStr">
        <is>
          <t>Code</t>
        </is>
      </c>
      <c r="D82" s="25" t="inlineStr">
        <is>
          <t>Functional</t>
        </is>
      </c>
      <c r="E82" s="25" t="inlineStr">
        <is>
          <t>Concurrency</t>
        </is>
      </c>
      <c r="F82" s="25" t="inlineStr">
        <is>
          <t>Transfer FTs while another mint of the same series runs</t>
        </is>
      </c>
      <c r="G82" s="25" t="inlineStr">
        <is>
          <t>API-RACE</t>
        </is>
      </c>
      <c r="H82" s="25" t="inlineStr">
        <is>
          <t>Single</t>
        </is>
      </c>
      <c r="I82" s="25" t="inlineStr">
        <is>
          <t>Both settle correctly</t>
        </is>
      </c>
      <c r="J82" s="25" t="inlineStr">
        <is>
          <t>Series count stays correct throughout</t>
        </is>
      </c>
      <c r="K82" s="25" t="inlineStr">
        <is>
          <t>P0</t>
        </is>
      </c>
      <c r="L82" s="25" t="inlineStr">
        <is>
          <t>core/ft.go:196</t>
        </is>
      </c>
      <c r="M82" s="25" t="n"/>
      <c r="N82" s="25" t="n"/>
      <c r="O82" s="25" t="n"/>
      <c r="P82" s="26" t="inlineStr">
        <is>
          <t>OK - transfer during a mint of the same series: both paths write token_denom for one DID. High value.</t>
        </is>
      </c>
      <c r="Q82" s="25" t="n"/>
    </row>
    <row r="83" ht="24" customHeight="1" s="14">
      <c r="A83" s="25" t="inlineStr">
        <is>
          <t>FT-CH-01</t>
        </is>
      </c>
      <c r="B83" s="25" t="inlineStr">
        <is>
          <t>FT</t>
        </is>
      </c>
      <c r="C83" s="25" t="inlineStr">
        <is>
          <t>Code</t>
        </is>
      </c>
      <c r="D83" s="25" t="inlineStr">
        <is>
          <t>Functional</t>
        </is>
      </c>
      <c r="E83" s="25" t="inlineStr">
        <is>
          <t>Multi Hop</t>
        </is>
      </c>
      <c r="F83" s="25" t="inlineStr">
        <is>
          <t>Move FTs through A to B to C with quorum changing each hop</t>
        </is>
      </c>
      <c r="G83" s="25" t="inlineStr">
        <is>
          <t>MULTI-NODE</t>
        </is>
      </c>
      <c r="H83" s="25" t="inlineStr">
        <is>
          <t>Fresh per hop</t>
        </is>
      </c>
      <c r="I83" s="25" t="inlineStr">
        <is>
          <t>All hops succeed</t>
        </is>
      </c>
      <c r="J83" s="25" t="inlineStr">
        <is>
          <t>Each hop links to the last; fresh quorum syncs history first</t>
        </is>
      </c>
      <c r="K83" s="25" t="inlineStr">
        <is>
          <t>P0</t>
        </is>
      </c>
      <c r="L83" s="25" t="inlineStr">
        <is>
          <t>core/consensus/checks.go:672</t>
        </is>
      </c>
      <c r="M83" s="25" t="n"/>
      <c r="N83" s="25" t="n"/>
      <c r="O83" s="25" t="n"/>
      <c r="P83" s="26" t="inlineStr">
        <is>
          <t>CONSTRAINT - 'quorum changing each hop' works because each HOP has a different sender; state that. Confirmed against core: one transaction uses exactly ONE quorum. transactionInfo.Quorums is built as a single-element slice from quorumAddresses[0] (core/transaction.go:289-294) and so is the signature list (core/transaction.go:376-379), with QuorumRequired = MinQuorumRequired = MinConsensusRequired = 1 (core/quorum_initiator.go:17-19). The model holds a list and validation loops over it, but nothing ever fills more than one. This row is therefore only meaningful as different SENDERS using different quorums - which is worth testing - and is untestable if read as several quorums signing one transaction.</t>
        </is>
      </c>
      <c r="Q83" s="25" t="n"/>
    </row>
    <row r="84" ht="34.5" customHeight="1" s="14">
      <c r="A84" s="25" t="inlineStr">
        <is>
          <t>FT-CH-02</t>
        </is>
      </c>
      <c r="B84" s="25" t="inlineStr">
        <is>
          <t>FT</t>
        </is>
      </c>
      <c r="C84" s="25" t="inlineStr">
        <is>
          <t>Code</t>
        </is>
      </c>
      <c r="D84" s="25" t="inlineStr">
        <is>
          <t>Functional</t>
        </is>
      </c>
      <c r="E84" s="25" t="inlineStr">
        <is>
          <t>Multi Hop</t>
        </is>
      </c>
      <c r="F84" s="25" t="inlineStr">
        <is>
          <t>Same route using one quorum for every hop</t>
        </is>
      </c>
      <c r="G84" s="25" t="inlineStr">
        <is>
          <t>MULTI-NODE</t>
        </is>
      </c>
      <c r="H84" s="25" t="inlineStr">
        <is>
          <t>Single</t>
        </is>
      </c>
      <c r="I84" s="25" t="inlineStr">
        <is>
          <t>All hops succeed</t>
        </is>
      </c>
      <c r="J84" s="25" t="inlineStr">
        <is>
          <t>Control test - compare with FT-H-01</t>
        </is>
      </c>
      <c r="K84" s="25" t="inlineStr">
        <is>
          <t>P0</t>
        </is>
      </c>
      <c r="L84" s="25" t="n"/>
      <c r="M84" s="25" t="n"/>
      <c r="N84" s="25" t="n"/>
      <c r="O84" s="25" t="n"/>
      <c r="P84" s="26" t="inlineStr">
        <is>
          <t>OK</t>
        </is>
      </c>
      <c r="Q84" s="25" t="n"/>
    </row>
    <row r="85" ht="24" customHeight="1" s="14">
      <c r="A85" s="25" t="inlineStr">
        <is>
          <t>FT-CH-03</t>
        </is>
      </c>
      <c r="B85" s="25" t="inlineStr">
        <is>
          <t>FT</t>
        </is>
      </c>
      <c r="C85" s="25" t="inlineStr">
        <is>
          <t>Code</t>
        </is>
      </c>
      <c r="D85" s="25" t="inlineStr">
        <is>
          <t>Functional</t>
        </is>
      </c>
      <c r="E85" s="25" t="inlineStr">
        <is>
          <t>Multi Hop</t>
        </is>
      </c>
      <c r="F85" s="25" t="inlineStr">
        <is>
          <t>Move FTs through 10 hops</t>
        </is>
      </c>
      <c r="G85" s="25" t="inlineStr">
        <is>
          <t>MULTI-NODE</t>
        </is>
      </c>
      <c r="H85" s="25" t="inlineStr">
        <is>
          <t>Multi</t>
        </is>
      </c>
      <c r="I85" s="25" t="inlineStr">
        <is>
          <t>All succeed</t>
        </is>
      </c>
      <c r="J85" s="25" t="inlineStr">
        <is>
          <t>Time each hop as history grows</t>
        </is>
      </c>
      <c r="K85" s="25" t="inlineStr">
        <is>
          <t>P0</t>
        </is>
      </c>
      <c r="L85" s="25" t="n"/>
      <c r="M85" s="25" t="n"/>
      <c r="N85" s="25" t="n"/>
      <c r="O85" s="25" t="n"/>
      <c r="P85" s="26" t="inlineStr">
        <is>
          <t>OK</t>
        </is>
      </c>
      <c r="Q85" s="25" t="n"/>
    </row>
    <row r="86" ht="24" customHeight="1" s="14">
      <c r="A86" s="25" t="inlineStr">
        <is>
          <t>FT-B-01</t>
        </is>
      </c>
      <c r="B86" s="25" t="inlineStr">
        <is>
          <t>FT</t>
        </is>
      </c>
      <c r="C86" s="25" t="inlineStr">
        <is>
          <t>Infra</t>
        </is>
      </c>
      <c r="D86" s="25" t="inlineStr">
        <is>
          <t>Performance</t>
        </is>
      </c>
      <c r="E86" s="25" t="inlineStr">
        <is>
          <t>Bulk</t>
        </is>
      </c>
      <c r="F86" s="25" t="inlineStr">
        <is>
          <t>Mint increasingly large FT batches</t>
        </is>
      </c>
      <c r="G86" s="25" t="inlineStr">
        <is>
          <t>API</t>
        </is>
      </c>
      <c r="H86" s="25" t="inlineStr">
        <is>
          <t>Single</t>
        </is>
      </c>
      <c r="I86" s="25" t="inlineStr">
        <is>
          <t>Find the practical mint size limit</t>
        </is>
      </c>
      <c r="J86" s="25" t="inlineStr">
        <is>
          <t>Plot mint time against batch size</t>
        </is>
      </c>
      <c r="K86" s="25" t="inlineStr">
        <is>
          <t>P1</t>
        </is>
      </c>
      <c r="L86" s="25" t="inlineStr">
        <is>
          <t>core/ft.go:45</t>
        </is>
      </c>
      <c r="M86" s="25" t="n"/>
      <c r="N86" s="25" t="n"/>
      <c r="O86" s="25" t="n"/>
      <c r="P86" s="26" t="inlineStr">
        <is>
          <t>OK (record-only)</t>
        </is>
      </c>
      <c r="Q86" s="25" t="n"/>
    </row>
    <row r="87" ht="24" customHeight="1" s="14">
      <c r="A87" s="25" t="inlineStr">
        <is>
          <t>FT-B-02</t>
        </is>
      </c>
      <c r="B87" s="25" t="inlineStr">
        <is>
          <t>FT</t>
        </is>
      </c>
      <c r="C87" s="25" t="inlineStr">
        <is>
          <t>Infra</t>
        </is>
      </c>
      <c r="D87" s="25" t="inlineStr">
        <is>
          <t>Performance</t>
        </is>
      </c>
      <c r="E87" s="25" t="inlineStr">
        <is>
          <t>Bulk</t>
        </is>
      </c>
      <c r="F87" s="25" t="inlineStr">
        <is>
          <t>Send many FT transfers back to back</t>
        </is>
      </c>
      <c r="G87" s="25" t="inlineStr">
        <is>
          <t>API</t>
        </is>
      </c>
      <c r="H87" s="25" t="inlineStr">
        <is>
          <t>Single</t>
        </is>
      </c>
      <c r="I87" s="25" t="inlineStr">
        <is>
          <t>All succeed</t>
        </is>
      </c>
      <c r="J87" s="25" t="inlineStr">
        <is>
          <t>Measure speed; total count unchanged</t>
        </is>
      </c>
      <c r="K87" s="25" t="inlineStr">
        <is>
          <t>P0</t>
        </is>
      </c>
      <c r="L87" s="25" t="n"/>
      <c r="M87" s="25" t="n"/>
      <c r="N87" s="25" t="n"/>
      <c r="O87" s="25" t="n"/>
      <c r="P87" s="26" t="inlineStr">
        <is>
          <t>OK</t>
        </is>
      </c>
      <c r="Q87" s="25" t="n"/>
    </row>
    <row r="88" ht="24" customHeight="1" s="14">
      <c r="A88" s="25" t="inlineStr">
        <is>
          <t>FT-B-03</t>
        </is>
      </c>
      <c r="B88" s="25" t="inlineStr">
        <is>
          <t>FT</t>
        </is>
      </c>
      <c r="C88" s="25" t="inlineStr">
        <is>
          <t>Infra</t>
        </is>
      </c>
      <c r="D88" s="25" t="inlineStr">
        <is>
          <t>Performance</t>
        </is>
      </c>
      <c r="E88" s="25" t="inlineStr">
        <is>
          <t>Bulk</t>
        </is>
      </c>
      <c r="F88" s="25" t="inlineStr">
        <is>
          <t>Raise parallel FT transfers step by step</t>
        </is>
      </c>
      <c r="G88" s="25" t="inlineStr">
        <is>
          <t>API-RACE</t>
        </is>
      </c>
      <c r="H88" s="25" t="inlineStr">
        <is>
          <t>Single</t>
        </is>
      </c>
      <c r="I88" s="25" t="inlineStr">
        <is>
          <t>Find the slowdown and failure points</t>
        </is>
      </c>
      <c r="J88" s="25" t="inlineStr">
        <is>
          <t>Build the pass rate chart</t>
        </is>
      </c>
      <c r="K88" s="25" t="inlineStr">
        <is>
          <t>P0</t>
        </is>
      </c>
      <c r="L88" s="25" t="n"/>
      <c r="M88" s="25" t="n"/>
      <c r="N88" s="25" t="n"/>
      <c r="O88" s="25" t="n"/>
      <c r="P88" s="26" t="inlineStr">
        <is>
          <t>One parallel ladder: 10, 50, 200 concurrent FT transfers through one quorum. Verify all of it in one run: Pass rate per step; record where it degrades. Repeat across 10, 50, 200 concurrent, and report each assertion separately so one failure cannot hide the others. Also covers FT-N-02, FT-N-03, FT-N-04.</t>
        </is>
      </c>
      <c r="Q88" s="25" t="n"/>
    </row>
    <row r="89" ht="24" customHeight="1" s="14">
      <c r="A89" s="25" t="inlineStr">
        <is>
          <t>FT-B-04</t>
        </is>
      </c>
      <c r="B89" s="25" t="inlineStr">
        <is>
          <t>FT</t>
        </is>
      </c>
      <c r="C89" s="25" t="inlineStr">
        <is>
          <t>Infra</t>
        </is>
      </c>
      <c r="D89" s="25" t="inlineStr">
        <is>
          <t>Performance</t>
        </is>
      </c>
      <c r="E89" s="25" t="inlineStr">
        <is>
          <t>Bulk</t>
        </is>
      </c>
      <c r="F89" s="25" t="inlineStr">
        <is>
          <t>Repeat the ladder with 3 and 5 quorums</t>
        </is>
      </c>
      <c r="G89" s="25" t="inlineStr">
        <is>
          <t>API-RACE</t>
        </is>
      </c>
      <c r="H89" s="25" t="inlineStr">
        <is>
          <t>Multi</t>
        </is>
      </c>
      <c r="I89" s="25" t="inlineStr">
        <is>
          <t>Higher throughput</t>
        </is>
      </c>
      <c r="J89" s="25" t="inlineStr">
        <is>
          <t>Produce the quorum versus throughput table</t>
        </is>
      </c>
      <c r="K89" s="25" t="inlineStr">
        <is>
          <t>P0</t>
        </is>
      </c>
      <c r="L89" s="25" t="n"/>
      <c r="M89" s="25" t="n"/>
      <c r="N89" s="25" t="n"/>
      <c r="O89" s="25" t="n"/>
      <c r="P89" s="26" t="inlineStr">
        <is>
          <t>CONSTRAINT - as FT-Q-04. Confirmed against core: one transaction uses exactly ONE quorum. transactionInfo.Quorums is built as a single-element slice from quorumAddresses[0] (core/transaction.go:289-294) and so is the signature list (core/transaction.go:376-379), with QuorumRequired = MinQuorumRequired = MinConsensusRequired = 1 (core/quorum_initiator.go:17-19). The model holds a list and validation loops over it, but nothing ever fills more than one. This row is therefore only meaningful as different SENDERS using different quorums - which is worth testing - and is untestable if read as several quorums signing one transaction.</t>
        </is>
      </c>
      <c r="Q89" s="25" t="n"/>
    </row>
    <row r="90" ht="24" customHeight="1" s="14">
      <c r="A90" s="25" t="inlineStr">
        <is>
          <t>FT-B-05</t>
        </is>
      </c>
      <c r="B90" s="25" t="inlineStr">
        <is>
          <t>FT</t>
        </is>
      </c>
      <c r="C90" s="25" t="inlineStr">
        <is>
          <t>Infra</t>
        </is>
      </c>
      <c r="D90" s="25" t="inlineStr">
        <is>
          <t>Performance</t>
        </is>
      </c>
      <c r="E90" s="25" t="inlineStr">
        <is>
          <t>Bulk</t>
        </is>
      </c>
      <c r="F90" s="25" t="inlineStr">
        <is>
          <t>Run FT load for several hours</t>
        </is>
      </c>
      <c r="G90" s="25" t="inlineStr">
        <is>
          <t>API-RACE</t>
        </is>
      </c>
      <c r="H90" s="25" t="inlineStr">
        <is>
          <t>Multi</t>
        </is>
      </c>
      <c r="I90" s="25" t="inlineStr">
        <is>
          <t>Stays stable</t>
        </is>
      </c>
      <c r="J90" s="25" t="inlineStr">
        <is>
          <t>Counts still exact at the end</t>
        </is>
      </c>
      <c r="K90" s="25" t="inlineStr">
        <is>
          <t>P0</t>
        </is>
      </c>
      <c r="L90" s="25" t="n"/>
      <c r="M90" s="25" t="n"/>
      <c r="N90" s="25" t="n"/>
      <c r="O90" s="25" t="n"/>
      <c r="P90" s="26" t="inlineStr">
        <is>
          <t>OK (record-only)</t>
        </is>
      </c>
      <c r="Q90" s="25" t="n"/>
    </row>
    <row r="91" ht="24" customHeight="1" s="14">
      <c r="A91" s="25" t="inlineStr">
        <is>
          <t>FT-P-01</t>
        </is>
      </c>
      <c r="B91" s="25" t="inlineStr">
        <is>
          <t>FT</t>
        </is>
      </c>
      <c r="C91" s="25" t="inlineStr">
        <is>
          <t>Code</t>
        </is>
      </c>
      <c r="D91" s="25" t="inlineStr">
        <is>
          <t>Functional</t>
        </is>
      </c>
      <c r="E91" s="25" t="inlineStr">
        <is>
          <t>Parts</t>
        </is>
      </c>
      <c r="F91" s="25" t="inlineStr">
        <is>
          <t>Fund a wallet using only amounts below 1 so it holds no whole token</t>
        </is>
      </c>
      <c r="G91" s="25" t="inlineStr">
        <is>
          <t>API</t>
        </is>
      </c>
      <c r="H91" s="25" t="inlineStr">
        <is>
          <t>Single</t>
        </is>
      </c>
      <c r="I91" s="25" t="inlineStr">
        <is>
          <t>Wallet holds only fractional tokens</t>
        </is>
      </c>
      <c r="J91" s="25" t="inlineStr">
        <is>
          <t>No 1.000 token present; the fractional denominations add up to the funded amount</t>
        </is>
      </c>
      <c r="K91" s="25" t="inlineStr">
        <is>
          <t>P0</t>
        </is>
      </c>
      <c r="L91" s="25" t="inlineStr">
        <is>
          <t>core/wallet/token_lock.go:40</t>
        </is>
      </c>
      <c r="M91" s="25" t="n"/>
      <c r="N91" s="25" t="inlineStr">
        <is>
          <t>master</t>
        </is>
      </c>
      <c r="O91" s="25" t="inlineStr">
        <is>
          <t>kept - core FTPARTS_WALLET_PARTS_ONLY passes on 1 quorum; failed on the lab branch run under 3 quorums</t>
        </is>
      </c>
      <c r="P91" s="26" t="inlineStr">
        <is>
          <t>OK - builds a parts-only wallet; precondition for the rest of the Parts group. Build the wallet this case needs before starting - never skip on shape. See 'Wallet preparation' in the Legend.</t>
        </is>
      </c>
      <c r="Q91" s="25" t="n"/>
    </row>
    <row r="92" ht="24" customHeight="1" s="14">
      <c r="A92" s="25" t="inlineStr">
        <is>
          <t>FT-P-02</t>
        </is>
      </c>
      <c r="B92" s="25" t="inlineStr">
        <is>
          <t>FT</t>
        </is>
      </c>
      <c r="C92" s="25" t="inlineStr">
        <is>
          <t>Code</t>
        </is>
      </c>
      <c r="D92" s="25" t="inlineStr">
        <is>
          <t>Functional</t>
        </is>
      </c>
      <c r="E92" s="25" t="inlineStr">
        <is>
          <t>Parts</t>
        </is>
      </c>
      <c r="F92" s="25" t="inlineStr">
        <is>
          <t>Mint an FT from a wallet holding only part tokens</t>
        </is>
      </c>
      <c r="G92" s="25" t="inlineStr">
        <is>
          <t>API</t>
        </is>
      </c>
      <c r="H92" s="25" t="inlineStr">
        <is>
          <t>Single</t>
        </is>
      </c>
      <c r="I92" s="25" t="inlineStr">
        <is>
          <t>Succeeds</t>
        </is>
      </c>
      <c r="J92" s="25" t="inlineStr">
        <is>
          <t>More than one RBT row burnt to back the batch; FT count correct</t>
        </is>
      </c>
      <c r="K92" s="25" t="inlineStr">
        <is>
          <t>P0</t>
        </is>
      </c>
      <c r="L92" s="25" t="inlineStr">
        <is>
          <t>core/ft.go:82</t>
        </is>
      </c>
      <c r="M92" s="25" t="n"/>
      <c r="N92" s="25" t="inlineStr">
        <is>
          <t>master</t>
        </is>
      </c>
      <c r="O92" s="25" t="inlineStr">
        <is>
          <t>kept - core FTPARTS_MINT_FROM_PARTS; lab adds multi-quorum</t>
        </is>
      </c>
      <c r="P92" s="26" t="inlineStr">
        <is>
          <t>ONE FT mint from a parts-only wallet. Verify all of it in one run: Mint succeeds; free balance falls by exactly the RBT minted; every denomination counter moves exactly as the burn requires; no denom=0 row appears. Repeat across three mints from the parts wallet: 1 RBT worth, 2 RBT worth, and one that needs several denominations, and report each assertion separately so one failure cannot hide the others. Also covers FT-P-03, FT-P-10. Build the wallet this case needs before starting - never skip on shape. See 'Wallet preparation' in the Legend.</t>
        </is>
      </c>
      <c r="Q92" s="25" t="n"/>
    </row>
    <row r="93" ht="24" customHeight="1" s="14">
      <c r="A93" s="25" t="inlineStr">
        <is>
          <t>FT-P-04</t>
        </is>
      </c>
      <c r="B93" s="25" t="inlineStr">
        <is>
          <t>FT</t>
        </is>
      </c>
      <c r="C93" s="25" t="inlineStr">
        <is>
          <t>Code</t>
        </is>
      </c>
      <c r="D93" s="25" t="inlineStr">
        <is>
          <t>Functional</t>
        </is>
      </c>
      <c r="E93" s="25" t="inlineStr">
        <is>
          <t>Parts</t>
        </is>
      </c>
      <c r="F93" s="25" t="inlineStr">
        <is>
          <t>Mint a second FT from the same parts wallet</t>
        </is>
      </c>
      <c r="G93" s="25" t="inlineStr">
        <is>
          <t>API</t>
        </is>
      </c>
      <c r="H93" s="25" t="inlineStr">
        <is>
          <t>Single</t>
        </is>
      </c>
      <c r="I93" s="25" t="inlineStr">
        <is>
          <t>Succeeds and costs exactly the RBT requested</t>
        </is>
      </c>
      <c r="J93" s="25" t="inlineStr">
        <is>
          <t>A first mint must not corrupt the counter the second one selects from</t>
        </is>
      </c>
      <c r="K93" s="25" t="inlineStr">
        <is>
          <t>P0</t>
        </is>
      </c>
      <c r="L93" s="25" t="inlineStr">
        <is>
          <t>core/ft.go:82</t>
        </is>
      </c>
      <c r="M93" s="25" t="n"/>
      <c r="N93" s="25" t="inlineStr">
        <is>
          <t>master</t>
        </is>
      </c>
      <c r="O93" s="25" t="inlineStr">
        <is>
          <t>kept - core FTPARTS_REPEAT_MINT; lab adds multi-quorum</t>
        </is>
      </c>
      <c r="P93" s="26" t="inlineStr">
        <is>
          <t>OK Build the wallet this case needs before starting - never skip on shape. See 'Wallet preparation' in the Legend.</t>
        </is>
      </c>
      <c r="Q93" s="25" t="n"/>
    </row>
    <row r="94" ht="24" customHeight="1" s="14">
      <c r="A94" s="25" t="inlineStr">
        <is>
          <t>FT-P-05</t>
        </is>
      </c>
      <c r="B94" s="25" t="inlineStr">
        <is>
          <t>FT</t>
        </is>
      </c>
      <c r="C94" s="25" t="inlineStr">
        <is>
          <t>Code</t>
        </is>
      </c>
      <c r="D94" s="25" t="inlineStr">
        <is>
          <t>Functional</t>
        </is>
      </c>
      <c r="E94" s="25" t="inlineStr">
        <is>
          <t>Parts</t>
        </is>
      </c>
      <c r="F94" s="25" t="inlineStr">
        <is>
          <t>Spend the parts left over after the FT burns</t>
        </is>
      </c>
      <c r="G94" s="25" t="inlineStr">
        <is>
          <t>API</t>
        </is>
      </c>
      <c r="H94" s="25" t="inlineStr">
        <is>
          <t>Single</t>
        </is>
      </c>
      <c r="I94" s="25" t="inlineStr">
        <is>
          <t>Succeeds</t>
        </is>
      </c>
      <c r="J94" s="25" t="inlineStr">
        <is>
          <t>Leftover parts are still selectable and transferable, not stranded</t>
        </is>
      </c>
      <c r="K94" s="25" t="inlineStr">
        <is>
          <t>P0</t>
        </is>
      </c>
      <c r="L94" s="25" t="inlineStr">
        <is>
          <t>core/wallet/token_lock.go:40</t>
        </is>
      </c>
      <c r="M94" s="25" t="n"/>
      <c r="N94" s="25" t="inlineStr">
        <is>
          <t>master</t>
        </is>
      </c>
      <c r="O94" s="25" t="inlineStr">
        <is>
          <t>kept - core FTPARTS_SPEND_AFTER_MINT; lab adds multi-quorum</t>
        </is>
      </c>
      <c r="P94" s="26" t="inlineStr">
        <is>
          <t>OK Build the wallet this case needs before starting - never skip on shape. See 'Wallet preparation' in the Legend.</t>
        </is>
      </c>
      <c r="Q94" s="25" t="n"/>
    </row>
    <row r="95" ht="24" customHeight="1" s="14">
      <c r="A95" s="25" t="inlineStr">
        <is>
          <t>FT-P-06</t>
        </is>
      </c>
      <c r="B95" s="25" t="inlineStr">
        <is>
          <t>FT</t>
        </is>
      </c>
      <c r="C95" s="25" t="inlineStr">
        <is>
          <t>Code</t>
        </is>
      </c>
      <c r="D95" s="25" t="inlineStr">
        <is>
          <t>Functional</t>
        </is>
      </c>
      <c r="E95" s="25" t="inlineStr">
        <is>
          <t>Parts</t>
        </is>
      </c>
      <c r="F95" s="25" t="inlineStr">
        <is>
          <t>Mint FTs repeatedly until one denomination is exhausted</t>
        </is>
      </c>
      <c r="G95" s="25" t="inlineStr">
        <is>
          <t>API</t>
        </is>
      </c>
      <c r="H95" s="25" t="inlineStr">
        <is>
          <t>Single</t>
        </is>
      </c>
      <c r="I95" s="25" t="inlineStr">
        <is>
          <t>Counter reaches zero and stops, never goes negative</t>
        </is>
      </c>
      <c r="J95" s="25" t="inlineStr">
        <is>
          <t>Exercises the floor on the burn path; the mint after exhaustion must fail cleanly rather than corrupt the counter</t>
        </is>
      </c>
      <c r="K95" s="25" t="inlineStr">
        <is>
          <t>P0</t>
        </is>
      </c>
      <c r="L95" s="25" t="inlineStr">
        <is>
          <t>core/wallet/token_chain.go</t>
        </is>
      </c>
      <c r="M95" s="25" t="n"/>
      <c r="N95" s="25" t="inlineStr">
        <is>
          <t>master</t>
        </is>
      </c>
      <c r="O95" s="25" t="n"/>
      <c r="P95" s="26" t="inlineStr">
        <is>
          <t>Mint repeatedly until one denomination walks down to exactly zero. Verify all of it in one run: The counter reaches zero, never goes negative, and still equals the real free tokens at every step. Repeat across walk down 0.001, then 0.01, then 0.1 - each to zero, and report each assertion separately so one failure cannot hide the others. Also covers FT-P-09. Build the wallet this case needs before starting - never skip on shape. See 'Wallet preparation' in the Legend.</t>
        </is>
      </c>
      <c r="Q95" s="25" t="n"/>
    </row>
    <row r="96" ht="24" customHeight="1" s="14">
      <c r="A96" s="25" t="inlineStr">
        <is>
          <t>FT-P-07</t>
        </is>
      </c>
      <c r="B96" s="25" t="inlineStr">
        <is>
          <t>FT</t>
        </is>
      </c>
      <c r="C96" s="25" t="inlineStr">
        <is>
          <t>Code</t>
        </is>
      </c>
      <c r="D96" s="25" t="inlineStr">
        <is>
          <t>Functional</t>
        </is>
      </c>
      <c r="E96" s="25" t="inlineStr">
        <is>
          <t>Parts</t>
        </is>
      </c>
      <c r="F96" s="25" t="inlineStr">
        <is>
          <t>Mint an FT and transfer RBT at the same moment from one wallet</t>
        </is>
      </c>
      <c r="G96" s="25" t="inlineStr">
        <is>
          <t>API-RACE</t>
        </is>
      </c>
      <c r="H96" s="25" t="inlineStr">
        <is>
          <t>Single</t>
        </is>
      </c>
      <c r="I96" s="25" t="inlineStr">
        <is>
          <t>Both succeed and the denomination counter stays consistent</t>
        </is>
      </c>
      <c r="J96" s="25" t="inlineStr">
        <is>
          <t>Both operations decrement the counter for the same DID by different code paths; the cheaper sibling of the deploy-versus-mint race</t>
        </is>
      </c>
      <c r="K96" s="25" t="inlineStr">
        <is>
          <t>P0</t>
        </is>
      </c>
      <c r="L96" s="25" t="inlineStr">
        <is>
          <t>core/wallet/token_chain.go</t>
        </is>
      </c>
      <c r="M96" s="25" t="n"/>
      <c r="N96" s="25" t="inlineStr">
        <is>
          <t>master</t>
        </is>
      </c>
      <c r="O96" s="25" t="n"/>
      <c r="P96" s="26" t="inlineStr">
        <is>
          <t>OK - concurrent mint + transfer on one wallet: two paths decrementing token_denom for the same DID. Highest-value FT case. Build the wallet this case needs before starting - never skip on shape. See 'Wallet preparation' in the Legend.</t>
        </is>
      </c>
      <c r="Q96" s="25" t="n"/>
    </row>
    <row r="97" ht="15" customHeight="1" s="14">
      <c r="A97" s="25" t="inlineStr">
        <is>
          <t>FT-P-08</t>
        </is>
      </c>
      <c r="B97" s="25" t="inlineStr">
        <is>
          <t>FT</t>
        </is>
      </c>
      <c r="C97" s="25" t="inlineStr">
        <is>
          <t>Code</t>
        </is>
      </c>
      <c r="D97" s="25" t="inlineStr">
        <is>
          <t>Functional</t>
        </is>
      </c>
      <c r="E97" s="25" t="inlineStr">
        <is>
          <t>Parts</t>
        </is>
      </c>
      <c r="F97" s="25" t="inlineStr">
        <is>
          <t>Alternate an FT mint and a contract deploy ten times on one wallet</t>
        </is>
      </c>
      <c r="G97" s="25" t="inlineStr">
        <is>
          <t>API</t>
        </is>
      </c>
      <c r="H97" s="25" t="inlineStr">
        <is>
          <t>Single</t>
        </is>
      </c>
      <c r="I97" s="25" t="inlineStr">
        <is>
          <t>All twenty operations succeed and the counter is still correct</t>
        </is>
      </c>
      <c r="J97" s="25" t="inlineStr">
        <is>
          <t>The sequential version of the same race - if this fails too, the two paths disagree even without concurrency, which is an ordering bug</t>
        </is>
      </c>
      <c r="K97" s="25" t="inlineStr">
        <is>
          <t>P0</t>
        </is>
      </c>
      <c r="L97" s="25" t="inlineStr">
        <is>
          <t>core/wallet/token_chain.go</t>
        </is>
      </c>
      <c r="M97" s="25" t="n"/>
      <c r="N97" s="25" t="inlineStr">
        <is>
          <t>master</t>
        </is>
      </c>
      <c r="O97" s="25" t="n"/>
      <c r="P97" s="26" t="inlineStr">
        <is>
          <t>OK - alternating mint and deploy hits both counter writers. Build the wallet this case needs before starting - never skip on shape. See 'Wallet preparation' in the Legend.</t>
        </is>
      </c>
      <c r="Q97" s="25" t="n"/>
    </row>
    <row r="98" ht="24" customHeight="1" s="14">
      <c r="A98" s="25" t="inlineStr">
        <is>
          <t>FT-DB-01</t>
        </is>
      </c>
      <c r="B98" s="25" t="inlineStr">
        <is>
          <t>FT</t>
        </is>
      </c>
      <c r="C98" s="25" t="inlineStr">
        <is>
          <t>Code</t>
        </is>
      </c>
      <c r="D98" s="25" t="inlineStr">
        <is>
          <t>Functional</t>
        </is>
      </c>
      <c r="E98" s="25" t="inlineStr">
        <is>
          <t>DB Failure</t>
        </is>
      </c>
      <c r="F98" s="25" t="inlineStr">
        <is>
          <t>Change an FT count in the database then transfer</t>
        </is>
      </c>
      <c r="G98" s="25" t="inlineStr">
        <is>
          <t>DB-SEED</t>
        </is>
      </c>
      <c r="H98" s="25" t="inlineStr">
        <is>
          <t>Single</t>
        </is>
      </c>
      <c r="I98" s="25" t="inlineStr">
        <is>
          <t>Rejected</t>
        </is>
      </c>
      <c r="J98" s="25" t="inlineStr">
        <is>
          <t>FT accounting catches the mismatch</t>
        </is>
      </c>
      <c r="K98" s="25" t="inlineStr">
        <is>
          <t>P0</t>
        </is>
      </c>
      <c r="L98" s="25" t="inlineStr">
        <is>
          <t>core/ft.go</t>
        </is>
      </c>
      <c r="M98" s="25" t="n"/>
      <c r="N98" s="25" t="n"/>
      <c r="O98" s="25" t="n"/>
      <c r="P98" s="26" t="inlineStr">
        <is>
          <t>IN SCOPE</t>
        </is>
      </c>
      <c r="Q98" s="25" t="n"/>
    </row>
    <row r="99" ht="15" customHeight="1" s="14">
      <c r="A99" s="25" t="inlineStr">
        <is>
          <t>FT-DB-02</t>
        </is>
      </c>
      <c r="B99" s="25" t="inlineStr">
        <is>
          <t>FT</t>
        </is>
      </c>
      <c r="C99" s="25" t="inlineStr">
        <is>
          <t>Code</t>
        </is>
      </c>
      <c r="D99" s="25" t="inlineStr">
        <is>
          <t>Functional</t>
        </is>
      </c>
      <c r="E99" s="25" t="inlineStr">
        <is>
          <t>DB Failure</t>
        </is>
      </c>
      <c r="F99" s="25" t="inlineStr">
        <is>
          <t>Delete an FT row then transfer that series</t>
        </is>
      </c>
      <c r="G99" s="25" t="inlineStr">
        <is>
          <t>DB-SEED</t>
        </is>
      </c>
      <c r="H99" s="25" t="inlineStr">
        <is>
          <t>Single</t>
        </is>
      </c>
      <c r="I99" s="25" t="inlineStr">
        <is>
          <t>Rejected</t>
        </is>
      </c>
      <c r="J99" s="25" t="inlineStr">
        <is>
          <t>Nothing transferred; locks released</t>
        </is>
      </c>
      <c r="K99" s="25" t="inlineStr">
        <is>
          <t>P0</t>
        </is>
      </c>
      <c r="L99" s="25" t="inlineStr">
        <is>
          <t>core/ft.go</t>
        </is>
      </c>
      <c r="M99" s="25" t="n"/>
      <c r="N99" s="25" t="n"/>
      <c r="O99" s="25" t="n"/>
      <c r="P99" s="26" t="inlineStr">
        <is>
          <t>IN SCOPE</t>
        </is>
      </c>
      <c r="Q99" s="25" t="n"/>
    </row>
    <row r="100" ht="15" customHeight="1" s="14">
      <c r="A100" s="25" t="inlineStr">
        <is>
          <t>FT-X-01</t>
        </is>
      </c>
      <c r="B100" s="25" t="inlineStr">
        <is>
          <t>FT</t>
        </is>
      </c>
      <c r="C100" s="25" t="inlineStr">
        <is>
          <t>Code</t>
        </is>
      </c>
      <c r="D100" s="25" t="inlineStr">
        <is>
          <t>Performance</t>
        </is>
      </c>
      <c r="E100" s="25" t="inlineStr">
        <is>
          <t>Scale</t>
        </is>
      </c>
      <c r="F100" s="25" t="inlineStr">
        <is>
          <t>Mint one hundred FT batches checking the counter at every checkpoint</t>
        </is>
      </c>
      <c r="G100" s="25" t="inlineStr">
        <is>
          <t>API-RACE</t>
        </is>
      </c>
      <c r="H100" s="25" t="inlineStr">
        <is>
          <t>Multi</t>
        </is>
      </c>
      <c r="I100" s="25" t="inlineStr">
        <is>
          <t>Counter consistent throughout and burnt total matches RBT consumed</t>
        </is>
      </c>
      <c r="J100" s="25" t="inlineStr">
        <is>
          <t>The changed statement runs once per burnt RBT, so volume is what exercises it</t>
        </is>
      </c>
      <c r="K100" s="25" t="inlineStr">
        <is>
          <t>P0</t>
        </is>
      </c>
      <c r="L100" s="25" t="inlineStr">
        <is>
          <t>core/wallet/token_chain.go</t>
        </is>
      </c>
      <c r="M100" s="25" t="n"/>
      <c r="N100" s="25" t="inlineStr">
        <is>
          <t>master</t>
        </is>
      </c>
      <c r="O100" s="25" t="n"/>
      <c r="P100" s="26" t="inlineStr">
        <is>
          <t>OK (record-only)</t>
        </is>
      </c>
      <c r="Q100" s="25" t="n"/>
    </row>
    <row r="101" ht="15" customHeight="1" s="14">
      <c r="A101" s="25" t="inlineStr">
        <is>
          <t>FT-X-02</t>
        </is>
      </c>
      <c r="B101" s="25" t="inlineStr">
        <is>
          <t>FT</t>
        </is>
      </c>
      <c r="C101" s="25" t="inlineStr">
        <is>
          <t>Code</t>
        </is>
      </c>
      <c r="D101" s="25" t="inlineStr">
        <is>
          <t>Performance</t>
        </is>
      </c>
      <c r="E101" s="25" t="inlineStr">
        <is>
          <t>Scale</t>
        </is>
      </c>
      <c r="F101" s="25" t="inlineStr">
        <is>
          <t>Sustained concurrent minting from several wallets at once</t>
        </is>
      </c>
      <c r="G101" s="25" t="inlineStr">
        <is>
          <t>API-RACE</t>
        </is>
      </c>
      <c r="H101" s="25" t="inlineStr">
        <is>
          <t>Multi</t>
        </is>
      </c>
      <c r="I101" s="25" t="inlineStr">
        <is>
          <t>Every wallet still reconciles afterwards</t>
        </is>
      </c>
      <c r="J101" s="25" t="inlineStr">
        <is>
          <t>Different DIDs, so a failure here means the burn path interferes ACROSS wallets - much broader than same-row contention</t>
        </is>
      </c>
      <c r="K101" s="25" t="inlineStr">
        <is>
          <t>P0</t>
        </is>
      </c>
      <c r="L101" s="25" t="inlineStr">
        <is>
          <t>core/wallet/token_chain.go</t>
        </is>
      </c>
      <c r="M101" s="25" t="n"/>
      <c r="N101" s="25" t="inlineStr">
        <is>
          <t>master</t>
        </is>
      </c>
      <c r="O101" s="25" t="n"/>
      <c r="P101" s="26" t="inlineStr">
        <is>
          <t>OK (record-only)</t>
        </is>
      </c>
      <c r="Q101" s="25" t="n"/>
    </row>
    <row r="102" ht="24" customHeight="1" s="14">
      <c r="A102" s="25" t="inlineStr">
        <is>
          <t>FT-DB-04</t>
        </is>
      </c>
      <c r="B102" s="25" t="inlineStr">
        <is>
          <t>FT</t>
        </is>
      </c>
      <c r="C102" s="25" t="inlineStr">
        <is>
          <t>Code</t>
        </is>
      </c>
      <c r="D102" s="25" t="inlineStr">
        <is>
          <t>Functional</t>
        </is>
      </c>
      <c r="E102" s="25" t="inlineStr">
        <is>
          <t>DB</t>
        </is>
      </c>
      <c r="F102" s="25" t="inlineStr">
        <is>
          <t>Force a denomination counter to zero with tokens still free then burn one</t>
        </is>
      </c>
      <c r="G102" s="25" t="inlineStr">
        <is>
          <t>DB-SEED</t>
        </is>
      </c>
      <c r="H102" s="25" t="inlineStr">
        <is>
          <t>Single</t>
        </is>
      </c>
      <c r="I102" s="25" t="inlineStr">
        <is>
          <t>The count stays at zero and never goes negative</t>
        </is>
      </c>
      <c r="J102" s="25" t="inlineStr">
        <is>
          <t>The only way to reach the clamp AT zero - no natural sequence subtracts from a counter that is already 0. FT-P-06 and FT-P-09 test the walk DOWN to zero, which is a different line</t>
        </is>
      </c>
      <c r="K102" s="25" t="inlineStr">
        <is>
          <t>P0</t>
        </is>
      </c>
      <c r="L102" s="25" t="inlineStr">
        <is>
          <t>core/wallet/token_chain.go:1052; core/wallet/token_chain.go UpdateTokenInfo - GREATEST(count - 1, 0) floors the counter, masking a double decrement</t>
        </is>
      </c>
      <c r="M102" s="25" t="n"/>
      <c r="N102" s="25" t="inlineStr">
        <is>
          <t>master</t>
        </is>
      </c>
      <c r="O102" s="25" t="n"/>
      <c r="P102" s="26" t="inlineStr">
        <is>
          <t>IN SCOPE - the clamp AT zero. Known to raise an exception in an earlier run; fix the case before trusting it.</t>
        </is>
      </c>
      <c r="Q102" s="25" t="n"/>
    </row>
    <row r="103" ht="15" customHeight="1" s="14">
      <c r="A103" s="25" t="inlineStr">
        <is>
          <t>NFT-M-02</t>
        </is>
      </c>
      <c r="B103" s="25" t="inlineStr">
        <is>
          <t>NFT</t>
        </is>
      </c>
      <c r="C103" s="25" t="inlineStr">
        <is>
          <t>Code</t>
        </is>
      </c>
      <c r="D103" s="25" t="inlineStr">
        <is>
          <t>Functional</t>
        </is>
      </c>
      <c r="E103" s="25" t="inlineStr">
        <is>
          <t>Create</t>
        </is>
      </c>
      <c r="F103" s="25" t="inlineStr">
        <is>
          <t>Create an NFT with missing metadata or artifact</t>
        </is>
      </c>
      <c r="G103" s="25" t="inlineStr">
        <is>
          <t>API</t>
        </is>
      </c>
      <c r="H103" s="25" t="inlineStr">
        <is>
          <t>N/A</t>
        </is>
      </c>
      <c r="I103" s="25" t="inlineStr">
        <is>
          <t>Rejected</t>
        </is>
      </c>
      <c r="J103" s="25" t="inlineStr">
        <is>
          <t>Nothing created</t>
        </is>
      </c>
      <c r="K103" s="25" t="inlineStr">
        <is>
          <t>P1</t>
        </is>
      </c>
      <c r="L103" s="25" t="inlineStr">
        <is>
          <t>core/nft.go:48</t>
        </is>
      </c>
      <c r="M103" s="25" t="n"/>
      <c r="N103" s="25" t="n"/>
      <c r="O103" s="25" t="n"/>
      <c r="P103" s="26" t="inlineStr">
        <is>
          <t>OK</t>
        </is>
      </c>
      <c r="Q103" s="25" t="n"/>
    </row>
    <row r="104" ht="24" customHeight="1" s="14">
      <c r="A104" s="25" t="inlineStr">
        <is>
          <t>NFT-M-03</t>
        </is>
      </c>
      <c r="B104" s="25" t="inlineStr">
        <is>
          <t>NFT</t>
        </is>
      </c>
      <c r="C104" s="25" t="inlineStr">
        <is>
          <t>Code</t>
        </is>
      </c>
      <c r="D104" s="25" t="inlineStr">
        <is>
          <t>Functional</t>
        </is>
      </c>
      <c r="E104" s="25" t="inlineStr">
        <is>
          <t>Create</t>
        </is>
      </c>
      <c r="F104" s="25" t="inlineStr">
        <is>
          <t>Create an NFT with a very large artifact file</t>
        </is>
      </c>
      <c r="G104" s="25" t="inlineStr">
        <is>
          <t>API</t>
        </is>
      </c>
      <c r="H104" s="25" t="inlineStr">
        <is>
          <t>N/A</t>
        </is>
      </c>
      <c r="I104" s="25" t="inlineStr">
        <is>
          <t>Succeeds or fails with a clear limit</t>
        </is>
      </c>
      <c r="J104" s="25" t="inlineStr">
        <is>
          <t>Record the largest artifact that works; time the upload</t>
        </is>
      </c>
      <c r="K104" s="25" t="inlineStr">
        <is>
          <t>P1</t>
        </is>
      </c>
      <c r="L104" s="25" t="inlineStr">
        <is>
          <t>core/nft.go:48</t>
        </is>
      </c>
      <c r="M104" s="25" t="n"/>
      <c r="N104" s="25" t="n"/>
      <c r="O104" s="25" t="n"/>
      <c r="P104" s="26" t="inlineStr">
        <is>
          <t>OK (record-only)</t>
        </is>
      </c>
      <c r="Q104" s="25" t="n"/>
    </row>
    <row r="105" ht="15" customHeight="1" s="14">
      <c r="A105" s="25" t="inlineStr">
        <is>
          <t>NFT-D-02</t>
        </is>
      </c>
      <c r="B105" s="25" t="inlineStr">
        <is>
          <t>NFT</t>
        </is>
      </c>
      <c r="C105" s="25" t="inlineStr">
        <is>
          <t>Code</t>
        </is>
      </c>
      <c r="D105" s="25" t="inlineStr">
        <is>
          <t>Functional</t>
        </is>
      </c>
      <c r="E105" s="25" t="inlineStr">
        <is>
          <t>Deploy</t>
        </is>
      </c>
      <c r="F105" s="25" t="inlineStr">
        <is>
          <t>Deploy without giving an owner</t>
        </is>
      </c>
      <c r="G105" s="25" t="inlineStr">
        <is>
          <t>API</t>
        </is>
      </c>
      <c r="H105" s="25" t="inlineStr">
        <is>
          <t>Single</t>
        </is>
      </c>
      <c r="I105" s="25" t="inlineStr">
        <is>
          <t>Succeeds - deployer becomes owner</t>
        </is>
      </c>
      <c r="J105" s="25" t="inlineStr">
        <is>
          <t>Owner equals initiator</t>
        </is>
      </c>
      <c r="K105" s="25" t="inlineStr">
        <is>
          <t>P1</t>
        </is>
      </c>
      <c r="L105" s="25" t="inlineStr">
        <is>
          <t>core/transaction_builder.go:439</t>
        </is>
      </c>
      <c r="M105" s="25" t="n"/>
      <c r="N105" s="25" t="n"/>
      <c r="O105" s="25" t="n"/>
      <c r="P105" s="26" t="inlineStr">
        <is>
          <t>OK - verified: on NFT deploy the Owner is pinned to the Initiator (core/transaction_builder.go:428-440).</t>
        </is>
      </c>
      <c r="Q105" s="25" t="n"/>
    </row>
    <row r="106" ht="24" customHeight="1" s="14">
      <c r="A106" s="25" t="inlineStr">
        <is>
          <t>NFT-D-03</t>
        </is>
      </c>
      <c r="B106" s="25" t="inlineStr">
        <is>
          <t>NFT</t>
        </is>
      </c>
      <c r="C106" s="25" t="inlineStr">
        <is>
          <t>Code</t>
        </is>
      </c>
      <c r="D106" s="25" t="inlineStr">
        <is>
          <t>Functional</t>
        </is>
      </c>
      <c r="E106" s="25" t="inlineStr">
        <is>
          <t>Deploy</t>
        </is>
      </c>
      <c r="F106" s="25" t="inlineStr">
        <is>
          <t>Deploy together with RBT or FT in one call</t>
        </is>
      </c>
      <c r="G106" s="25" t="inlineStr">
        <is>
          <t>API</t>
        </is>
      </c>
      <c r="H106" s="25" t="inlineStr">
        <is>
          <t>Single</t>
        </is>
      </c>
      <c r="I106" s="25" t="inlineStr">
        <is>
          <t>Rejected</t>
        </is>
      </c>
      <c r="J106" s="25" t="inlineStr">
        <is>
          <t>Clear error that deploy cannot be combined</t>
        </is>
      </c>
      <c r="K106" s="25" t="inlineStr">
        <is>
          <t>P0</t>
        </is>
      </c>
      <c r="L106" s="25" t="inlineStr">
        <is>
          <t>core/transaction_builder.go:433</t>
        </is>
      </c>
      <c r="M106" s="25" t="n"/>
      <c r="N106" s="25" t="n"/>
      <c r="O106" s="25" t="n"/>
      <c r="P106" s="26" t="inlineStr">
        <is>
          <t>OK - verified: NFT deploy combined with RBT/FT/SC is rejected explicitly (core/transaction_builder.go:432-435).</t>
        </is>
      </c>
      <c r="Q106" s="25" t="n"/>
    </row>
    <row r="107" ht="100.5" customHeight="1" s="14">
      <c r="A107" s="25" t="inlineStr">
        <is>
          <t>NFT-D-04</t>
        </is>
      </c>
      <c r="B107" s="25" t="inlineStr">
        <is>
          <t>NFT</t>
        </is>
      </c>
      <c r="C107" s="25" t="inlineStr">
        <is>
          <t>Code</t>
        </is>
      </c>
      <c r="D107" s="25" t="inlineStr">
        <is>
          <t>Functional</t>
        </is>
      </c>
      <c r="E107" s="25" t="inlineStr">
        <is>
          <t>Deploy</t>
        </is>
      </c>
      <c r="F107" s="25" t="inlineStr">
        <is>
          <t>Deploy the same NFT twice</t>
        </is>
      </c>
      <c r="G107" s="25" t="inlineStr">
        <is>
          <t>API</t>
        </is>
      </c>
      <c r="H107" s="25" t="inlineStr">
        <is>
          <t>Single</t>
        </is>
      </c>
      <c r="I107" s="25" t="inlineStr">
        <is>
          <t>Rejected the second time</t>
        </is>
      </c>
      <c r="J107" s="25" t="inlineStr">
        <is>
          <t>Chain not duplicated</t>
        </is>
      </c>
      <c r="K107" s="25" t="inlineStr">
        <is>
          <t>P0</t>
        </is>
      </c>
      <c r="L107" s="25" t="inlineStr">
        <is>
          <t>core/consensus/checks.go:709</t>
        </is>
      </c>
      <c r="M107" s="25" t="n"/>
      <c r="N107" s="25" t="n"/>
      <c r="O107" s="25" t="n"/>
      <c r="P107" s="26" t="inlineStr">
        <is>
          <t>OK</t>
        </is>
      </c>
      <c r="Q107" s="25" t="n"/>
    </row>
    <row r="108" ht="15" customHeight="1" s="14">
      <c r="A108" s="25" t="inlineStr">
        <is>
          <t>NFT-D-05</t>
        </is>
      </c>
      <c r="B108" s="25" t="inlineStr">
        <is>
          <t>NFT</t>
        </is>
      </c>
      <c r="C108" s="25" t="inlineStr">
        <is>
          <t>Code</t>
        </is>
      </c>
      <c r="D108" s="25" t="inlineStr">
        <is>
          <t>Functional</t>
        </is>
      </c>
      <c r="E108" s="25" t="inlineStr">
        <is>
          <t>Deploy</t>
        </is>
      </c>
      <c r="F108" s="25" t="inlineStr">
        <is>
          <t>Deploy many NFTs at the same time</t>
        </is>
      </c>
      <c r="G108" s="25" t="inlineStr">
        <is>
          <t>API-RACE</t>
        </is>
      </c>
      <c r="H108" s="25" t="inlineStr">
        <is>
          <t>Multi</t>
        </is>
      </c>
      <c r="I108" s="25" t="inlineStr">
        <is>
          <t>All succeed</t>
        </is>
      </c>
      <c r="J108" s="25" t="inlineStr">
        <is>
          <t>Each gets its own chain; no ID clashes</t>
        </is>
      </c>
      <c r="K108" s="25" t="inlineStr">
        <is>
          <t>P0</t>
        </is>
      </c>
      <c r="L108" s="25" t="n"/>
      <c r="M108" s="25" t="n"/>
      <c r="N108" s="25" t="n"/>
      <c r="O108" s="25" t="n"/>
      <c r="P108" s="26" t="inlineStr">
        <is>
          <t>OK</t>
        </is>
      </c>
      <c r="Q108" s="25" t="n"/>
    </row>
    <row r="109" ht="15" customHeight="1" s="14">
      <c r="A109" s="25" t="inlineStr">
        <is>
          <t>NFT-E-03</t>
        </is>
      </c>
      <c r="B109" s="25" t="inlineStr">
        <is>
          <t>NFT</t>
        </is>
      </c>
      <c r="C109" s="25" t="inlineStr">
        <is>
          <t>Code</t>
        </is>
      </c>
      <c r="D109" s="25" t="inlineStr">
        <is>
          <t>Functional</t>
        </is>
      </c>
      <c r="E109" s="25" t="inlineStr">
        <is>
          <t>Execute</t>
        </is>
      </c>
      <c r="F109" s="25" t="inlineStr">
        <is>
          <t>Execute without subscribing first</t>
        </is>
      </c>
      <c r="G109" s="25" t="inlineStr">
        <is>
          <t>API</t>
        </is>
      </c>
      <c r="H109" s="25" t="inlineStr">
        <is>
          <t>Single</t>
        </is>
      </c>
      <c r="I109" s="25" t="inlineStr">
        <is>
          <t>Fails at the subscribe step</t>
        </is>
      </c>
      <c r="J109" s="25" t="inlineStr">
        <is>
          <t>Error is about subscription not ownership</t>
        </is>
      </c>
      <c r="K109" s="25" t="inlineStr">
        <is>
          <t>P1</t>
        </is>
      </c>
      <c r="L109" s="25" t="inlineStr">
        <is>
          <t>core/nft.go:128</t>
        </is>
      </c>
      <c r="M109" s="25" t="n"/>
      <c r="N109" s="25" t="n"/>
      <c r="O109" s="25" t="n"/>
      <c r="P109" s="26" t="inlineStr">
        <is>
          <t>OK - execute requires a subscription.</t>
        </is>
      </c>
      <c r="Q109" s="25" t="n"/>
    </row>
    <row r="110" ht="15" customHeight="1" s="14">
      <c r="A110" s="25" t="inlineStr">
        <is>
          <t>NFT-E-04</t>
        </is>
      </c>
      <c r="B110" s="25" t="inlineStr">
        <is>
          <t>NFT</t>
        </is>
      </c>
      <c r="C110" s="25" t="inlineStr">
        <is>
          <t>Code</t>
        </is>
      </c>
      <c r="D110" s="25" t="inlineStr">
        <is>
          <t>Functional</t>
        </is>
      </c>
      <c r="E110" s="25" t="inlineStr">
        <is>
          <t>Execute</t>
        </is>
      </c>
      <c r="F110" s="25" t="inlineStr">
        <is>
          <t>Execute the same NFT 50 times in a row</t>
        </is>
      </c>
      <c r="G110" s="25" t="inlineStr">
        <is>
          <t>API</t>
        </is>
      </c>
      <c r="H110" s="25" t="inlineStr">
        <is>
          <t>Single</t>
        </is>
      </c>
      <c r="I110" s="25" t="inlineStr">
        <is>
          <t>All succeed</t>
        </is>
      </c>
      <c r="J110" s="25" t="inlineStr">
        <is>
          <t>Chain grows each time with no gaps; time per execute as chain grows</t>
        </is>
      </c>
      <c r="K110" s="25" t="inlineStr">
        <is>
          <t>P0</t>
        </is>
      </c>
      <c r="L110" s="25" t="n"/>
      <c r="M110" s="25" t="n"/>
      <c r="N110" s="25" t="n"/>
      <c r="O110" s="25" t="n"/>
      <c r="P110" s="26" t="inlineStr">
        <is>
          <t>Execute one NFT 50 times in a row. Verify all of it in one run: All succeed; record execute time as the chain grows, so the slowdown is visible. Repeat across 50 executes, timing every tenth, and report each assertion separately so one failure cannot hide the others. Also covers NFT-B-04.</t>
        </is>
      </c>
      <c r="Q110" s="25" t="n"/>
    </row>
    <row r="111" ht="24" customHeight="1" s="14">
      <c r="A111" s="25" t="inlineStr">
        <is>
          <t>NFT-E-05</t>
        </is>
      </c>
      <c r="B111" s="25" t="inlineStr">
        <is>
          <t>NFT</t>
        </is>
      </c>
      <c r="C111" s="25" t="inlineStr">
        <is>
          <t>Code</t>
        </is>
      </c>
      <c r="D111" s="25" t="inlineStr">
        <is>
          <t>Functional</t>
        </is>
      </c>
      <c r="E111" s="25" t="inlineStr">
        <is>
          <t>Execute</t>
        </is>
      </c>
      <c r="F111" s="25" t="inlineStr">
        <is>
          <t>Two nodes execute the same NFT at the same time</t>
        </is>
      </c>
      <c r="G111" s="25" t="inlineStr">
        <is>
          <t>API-RACE</t>
        </is>
      </c>
      <c r="H111" s="25" t="inlineStr">
        <is>
          <t>Single</t>
        </is>
      </c>
      <c r="I111" s="25" t="inlineStr">
        <is>
          <t>Both handled cleanly</t>
        </is>
      </c>
      <c r="J111" s="25" t="inlineStr">
        <is>
          <t>Chain stays consistent; no gaps or duplicates</t>
        </is>
      </c>
      <c r="K111" s="25" t="inlineStr">
        <is>
          <t>P0</t>
        </is>
      </c>
      <c r="L111" s="25" t="n"/>
      <c r="M111" s="25" t="n"/>
      <c r="N111" s="25" t="n"/>
      <c r="O111" s="25" t="n"/>
      <c r="P111" s="26" t="inlineStr">
        <is>
          <t>OK</t>
        </is>
      </c>
      <c r="Q111" s="25" t="n"/>
    </row>
    <row r="112" ht="24" customHeight="1" s="14">
      <c r="A112" s="25" t="inlineStr">
        <is>
          <t>NFT-E-07</t>
        </is>
      </c>
      <c r="B112" s="25" t="inlineStr">
        <is>
          <t>NFT</t>
        </is>
      </c>
      <c r="C112" s="25" t="inlineStr">
        <is>
          <t>Code</t>
        </is>
      </c>
      <c r="D112" s="25" t="inlineStr">
        <is>
          <t>Functional</t>
        </is>
      </c>
      <c r="E112" s="25" t="inlineStr">
        <is>
          <t>Execute</t>
        </is>
      </c>
      <c r="F112" s="25" t="inlineStr">
        <is>
          <t>Non owner tries to change the NFT value</t>
        </is>
      </c>
      <c r="G112" s="25" t="inlineStr">
        <is>
          <t>API</t>
        </is>
      </c>
      <c r="H112" s="25" t="inlineStr">
        <is>
          <t>Single</t>
        </is>
      </c>
      <c r="I112" s="25" t="inlineStr">
        <is>
          <t>Value change ignored</t>
        </is>
      </c>
      <c r="J112" s="25" t="inlineStr">
        <is>
          <t>Stored value stays; data field can still be set</t>
        </is>
      </c>
      <c r="K112" s="25" t="inlineStr">
        <is>
          <t>P1</t>
        </is>
      </c>
      <c r="L112" s="25" t="inlineStr">
        <is>
          <t>core/transaction_builder.go:254</t>
        </is>
      </c>
      <c r="M112" s="25" t="n"/>
      <c r="N112" s="25" t="n"/>
      <c r="O112" s="25" t="n"/>
      <c r="P112" s="26" t="inlineStr">
        <is>
          <t>OK and IMPORTANT - NFT/SC execute is open to ANY subscriber by design (core/consensus/checks.go:115-127). Ownership is not the gate, subscription is. Make sure the expectation matches that design.</t>
        </is>
      </c>
      <c r="Q112" s="25" t="n"/>
    </row>
    <row r="113" ht="24" customHeight="1" s="14">
      <c r="A113" s="25" t="inlineStr">
        <is>
          <t>NFT-C-02</t>
        </is>
      </c>
      <c r="B113" s="25" t="inlineStr">
        <is>
          <t>NFT</t>
        </is>
      </c>
      <c r="C113" s="25" t="inlineStr">
        <is>
          <t>Code</t>
        </is>
      </c>
      <c r="D113" s="25" t="inlineStr">
        <is>
          <t>Functional</t>
        </is>
      </c>
      <c r="E113" s="25" t="inlineStr">
        <is>
          <t>Child Mint</t>
        </is>
      </c>
      <c r="F113" s="25" t="inlineStr">
        <is>
          <t>Mint 1 child then 10 then 100 under one parent</t>
        </is>
      </c>
      <c r="G113" s="25" t="inlineStr">
        <is>
          <t>API</t>
        </is>
      </c>
      <c r="H113" s="25" t="inlineStr">
        <is>
          <t>Single</t>
        </is>
      </c>
      <c r="I113" s="25" t="inlineStr">
        <is>
          <t>All succeed</t>
        </is>
      </c>
      <c r="J113" s="25" t="inlineStr">
        <is>
          <t>Time the mint as child count grows; find the practical limit</t>
        </is>
      </c>
      <c r="K113" s="25" t="inlineStr">
        <is>
          <t>P0</t>
        </is>
      </c>
      <c r="L113" s="25" t="n"/>
      <c r="M113" s="25" t="n"/>
      <c r="N113" s="25" t="n"/>
      <c r="O113" s="25" t="n"/>
      <c r="P113" s="26" t="inlineStr">
        <is>
          <t>One child-mint ladder under a single parent: 1, 10, 100, then as large as it goes. Verify all of it in one run: All children are created and fetchable; record the largest batch that works and the time per batch. Repeat across 1, 10, 100 children, then the largest batch that works, and report each assertion separately so one failure cannot hide the others. Also covers NFT-C-07, NFT-B-03, NFT-B-06.</t>
        </is>
      </c>
      <c r="Q113" s="25" t="n"/>
    </row>
    <row r="114" ht="15" customHeight="1" s="14">
      <c r="A114" s="25" t="inlineStr">
        <is>
          <t>NFT-C-05</t>
        </is>
      </c>
      <c r="B114" s="25" t="inlineStr">
        <is>
          <t>NFT</t>
        </is>
      </c>
      <c r="C114" s="25" t="inlineStr">
        <is>
          <t>Code</t>
        </is>
      </c>
      <c r="D114" s="25" t="inlineStr">
        <is>
          <t>Functional</t>
        </is>
      </c>
      <c r="E114" s="25" t="inlineStr">
        <is>
          <t>Child Mint</t>
        </is>
      </c>
      <c r="F114" s="25" t="inlineStr">
        <is>
          <t>Mint a child under a parent that does not exist</t>
        </is>
      </c>
      <c r="G114" s="25" t="inlineStr">
        <is>
          <t>API</t>
        </is>
      </c>
      <c r="H114" s="25" t="inlineStr">
        <is>
          <t>Single</t>
        </is>
      </c>
      <c r="I114" s="25" t="inlineStr">
        <is>
          <t>Rejected</t>
        </is>
      </c>
      <c r="J114" s="25" t="inlineStr">
        <is>
          <t>Nothing created</t>
        </is>
      </c>
      <c r="K114" s="25" t="inlineStr">
        <is>
          <t>P1</t>
        </is>
      </c>
      <c r="L114" s="25" t="inlineStr">
        <is>
          <t>core/transaction.go:101</t>
        </is>
      </c>
      <c r="M114" s="25" t="n"/>
      <c r="N114" s="25" t="n"/>
      <c r="O114" s="25" t="n"/>
      <c r="P114" s="26" t="inlineStr">
        <is>
          <t>OK</t>
        </is>
      </c>
      <c r="Q114" s="25" t="n"/>
    </row>
    <row r="115" ht="15" customHeight="1" s="14">
      <c r="A115" s="25" t="inlineStr">
        <is>
          <t>NFT-C-06</t>
        </is>
      </c>
      <c r="B115" s="25" t="inlineStr">
        <is>
          <t>NFT</t>
        </is>
      </c>
      <c r="C115" s="25" t="inlineStr">
        <is>
          <t>Code</t>
        </is>
      </c>
      <c r="D115" s="25" t="inlineStr">
        <is>
          <t>Functional</t>
        </is>
      </c>
      <c r="E115" s="25" t="inlineStr">
        <is>
          <t>Child Mint</t>
        </is>
      </c>
      <c r="F115" s="25" t="inlineStr">
        <is>
          <t>Fetch a child NFT on another node</t>
        </is>
      </c>
      <c r="G115" s="25" t="inlineStr">
        <is>
          <t>API</t>
        </is>
      </c>
      <c r="H115" s="25" t="inlineStr">
        <is>
          <t>N/A</t>
        </is>
      </c>
      <c r="I115" s="25" t="inlineStr">
        <is>
          <t>Works without artifact files</t>
        </is>
      </c>
      <c r="J115" s="25" t="inlineStr">
        <is>
          <t>Child has no metadata so only the chain syncs</t>
        </is>
      </c>
      <c r="K115" s="25" t="inlineStr">
        <is>
          <t>P1</t>
        </is>
      </c>
      <c r="L115" s="25" t="inlineStr">
        <is>
          <t>core/nft.go:110</t>
        </is>
      </c>
      <c r="M115" s="25" t="n"/>
      <c r="N115" s="25" t="n"/>
      <c r="O115" s="25" t="n"/>
      <c r="P115" s="26" t="inlineStr">
        <is>
          <t>OK</t>
        </is>
      </c>
      <c r="Q115" s="25" t="n"/>
    </row>
    <row r="116" ht="24" customHeight="1" s="14">
      <c r="A116" s="25" t="inlineStr">
        <is>
          <t>NFT-X-02</t>
        </is>
      </c>
      <c r="B116" s="25" t="inlineStr">
        <is>
          <t>NFT</t>
        </is>
      </c>
      <c r="C116" s="25" t="inlineStr">
        <is>
          <t>Code</t>
        </is>
      </c>
      <c r="D116" s="25" t="inlineStr">
        <is>
          <t>Functional</t>
        </is>
      </c>
      <c r="E116" s="25" t="inlineStr">
        <is>
          <t>Transfer</t>
        </is>
      </c>
      <c r="F116" s="25" t="inlineStr">
        <is>
          <t>Transfer an NFT you do not own</t>
        </is>
      </c>
      <c r="G116" s="25" t="inlineStr">
        <is>
          <t>API</t>
        </is>
      </c>
      <c r="H116" s="25" t="inlineStr">
        <is>
          <t>Single</t>
        </is>
      </c>
      <c r="I116" s="25" t="inlineStr">
        <is>
          <t>Rejected</t>
        </is>
      </c>
      <c r="J116" s="25" t="inlineStr">
        <is>
          <t>Ownership unchanged</t>
        </is>
      </c>
      <c r="K116" s="25" t="inlineStr">
        <is>
          <t>P0</t>
        </is>
      </c>
      <c r="L116" s="25" t="inlineStr">
        <is>
          <t>core/consensus/checks.go:400</t>
        </is>
      </c>
      <c r="M116" s="25" t="n"/>
      <c r="N116" s="25" t="n"/>
      <c r="O116" s="25" t="n"/>
      <c r="P116" s="26" t="inlineStr">
        <is>
          <t>Three invalid NFT transfers in one case. Verify all of it in one run: Not the owner, owner unchanged, and never deployed are each rejected (core/consensus/checks.go:399-404). Repeat across three invalid transfers in one run, and report each assertion separately so one failure cannot hide the others. Also covers NFT-X-03, NFT-X-04.</t>
        </is>
      </c>
      <c r="Q116" s="25" t="n"/>
    </row>
    <row r="117" ht="15" customHeight="1" s="14">
      <c r="A117" s="25" t="inlineStr">
        <is>
          <t>NFT-X-05</t>
        </is>
      </c>
      <c r="B117" s="25" t="inlineStr">
        <is>
          <t>NFT</t>
        </is>
      </c>
      <c r="C117" s="25" t="inlineStr">
        <is>
          <t>Code</t>
        </is>
      </c>
      <c r="D117" s="25" t="inlineStr">
        <is>
          <t>Functional</t>
        </is>
      </c>
      <c r="E117" s="25" t="inlineStr">
        <is>
          <t>Transfer</t>
        </is>
      </c>
      <c r="F117" s="25" t="inlineStr">
        <is>
          <t>Transfer a parent NFT that has children</t>
        </is>
      </c>
      <c r="G117" s="25" t="inlineStr">
        <is>
          <t>API</t>
        </is>
      </c>
      <c r="H117" s="25" t="inlineStr">
        <is>
          <t>Single</t>
        </is>
      </c>
      <c r="I117" s="25" t="inlineStr">
        <is>
          <t>Succeeds</t>
        </is>
      </c>
      <c r="J117" s="25" t="inlineStr">
        <is>
          <t>Child links still correct after the owner changes</t>
        </is>
      </c>
      <c r="K117" s="25" t="inlineStr">
        <is>
          <t>P1</t>
        </is>
      </c>
      <c r="L117" s="25" t="n"/>
      <c r="M117" s="25" t="n"/>
      <c r="N117" s="25" t="n"/>
      <c r="O117" s="25" t="n"/>
      <c r="P117" s="26" t="inlineStr">
        <is>
          <t>OK</t>
        </is>
      </c>
      <c r="Q117" s="25" t="n"/>
    </row>
    <row r="118" ht="15" customHeight="1" s="14">
      <c r="A118" s="25" t="inlineStr">
        <is>
          <t>NFT-X-06</t>
        </is>
      </c>
      <c r="B118" s="25" t="inlineStr">
        <is>
          <t>NFT</t>
        </is>
      </c>
      <c r="C118" s="25" t="inlineStr">
        <is>
          <t>Code</t>
        </is>
      </c>
      <c r="D118" s="25" t="inlineStr">
        <is>
          <t>Functional</t>
        </is>
      </c>
      <c r="E118" s="25" t="inlineStr">
        <is>
          <t>Transfer</t>
        </is>
      </c>
      <c r="F118" s="25" t="inlineStr">
        <is>
          <t>Transfer the same NFT to two receivers at once</t>
        </is>
      </c>
      <c r="G118" s="25" t="inlineStr">
        <is>
          <t>API-RACE</t>
        </is>
      </c>
      <c r="H118" s="25" t="inlineStr">
        <is>
          <t>Single</t>
        </is>
      </c>
      <c r="I118" s="25" t="inlineStr">
        <is>
          <t>Only one succeeds</t>
        </is>
      </c>
      <c r="J118" s="25" t="inlineStr">
        <is>
          <t>Exactly one owner afterwards</t>
        </is>
      </c>
      <c r="K118" s="25" t="inlineStr">
        <is>
          <t>P0</t>
        </is>
      </c>
      <c r="L118" s="25" t="n"/>
      <c r="M118" s="25" t="n"/>
      <c r="N118" s="25" t="n"/>
      <c r="O118" s="25" t="n"/>
      <c r="P118" s="26" t="inlineStr">
        <is>
          <t>OK</t>
        </is>
      </c>
      <c r="Q118" s="25" t="n"/>
    </row>
    <row r="119" ht="15" customHeight="1" s="14">
      <c r="A119" s="25" t="inlineStr">
        <is>
          <t>NFT-X-07</t>
        </is>
      </c>
      <c r="B119" s="25" t="inlineStr">
        <is>
          <t>NFT</t>
        </is>
      </c>
      <c r="C119" s="25" t="inlineStr">
        <is>
          <t>Code</t>
        </is>
      </c>
      <c r="D119" s="25" t="inlineStr">
        <is>
          <t>Functional</t>
        </is>
      </c>
      <c r="E119" s="25" t="inlineStr">
        <is>
          <t>Transfer</t>
        </is>
      </c>
      <c r="F119" s="25" t="inlineStr">
        <is>
          <t>Transfer an NFT immediately after receiving it</t>
        </is>
      </c>
      <c r="G119" s="25" t="inlineStr">
        <is>
          <t>API</t>
        </is>
      </c>
      <c r="H119" s="25" t="inlineStr">
        <is>
          <t>Multi</t>
        </is>
      </c>
      <c r="I119" s="25" t="inlineStr">
        <is>
          <t>Succeeds</t>
        </is>
      </c>
      <c r="J119" s="25" t="inlineStr">
        <is>
          <t>No stale ownership error</t>
        </is>
      </c>
      <c r="K119" s="25" t="inlineStr">
        <is>
          <t>P0</t>
        </is>
      </c>
      <c r="L119" s="25" t="n"/>
      <c r="M119" s="25" t="n"/>
      <c r="N119" s="25" t="n"/>
      <c r="O119" s="25" t="n"/>
      <c r="P119" s="26" t="inlineStr">
        <is>
          <t>OK</t>
        </is>
      </c>
      <c r="Q119" s="25" t="n"/>
    </row>
    <row r="120" ht="15" customHeight="1" s="14">
      <c r="A120" s="25" t="inlineStr">
        <is>
          <t>NFT-X-08</t>
        </is>
      </c>
      <c r="B120" s="25" t="inlineStr">
        <is>
          <t>NFT</t>
        </is>
      </c>
      <c r="C120" s="25" t="inlineStr">
        <is>
          <t>Code</t>
        </is>
      </c>
      <c r="D120" s="25" t="inlineStr">
        <is>
          <t>Functional</t>
        </is>
      </c>
      <c r="E120" s="25" t="inlineStr">
        <is>
          <t>Transfer</t>
        </is>
      </c>
      <c r="F120" s="25" t="inlineStr">
        <is>
          <t>Many NFT transfers at once through one quorum</t>
        </is>
      </c>
      <c r="G120" s="25" t="inlineStr">
        <is>
          <t>API-RACE</t>
        </is>
      </c>
      <c r="H120" s="25" t="inlineStr">
        <is>
          <t>Single</t>
        </is>
      </c>
      <c r="I120" s="25" t="inlineStr">
        <is>
          <t>Record pass rate</t>
        </is>
      </c>
      <c r="J120" s="25" t="inlineStr">
        <is>
          <t>Compare against the same load with 5 quorums</t>
        </is>
      </c>
      <c r="K120" s="25" t="inlineStr">
        <is>
          <t>P0</t>
        </is>
      </c>
      <c r="L120" s="25" t="n"/>
      <c r="M120" s="25" t="n"/>
      <c r="N120" s="25" t="n"/>
      <c r="O120" s="25" t="n"/>
      <c r="P120" s="26" t="inlineStr">
        <is>
          <t>OK (record-only)</t>
        </is>
      </c>
      <c r="Q120" s="25" t="n"/>
    </row>
    <row r="121" ht="15" customHeight="1" s="14">
      <c r="A121" s="25" t="inlineStr">
        <is>
          <t>NFT-CH-01</t>
        </is>
      </c>
      <c r="B121" s="25" t="inlineStr">
        <is>
          <t>NFT</t>
        </is>
      </c>
      <c r="C121" s="25" t="inlineStr">
        <is>
          <t>Code</t>
        </is>
      </c>
      <c r="D121" s="25" t="inlineStr">
        <is>
          <t>Functional</t>
        </is>
      </c>
      <c r="E121" s="25" t="inlineStr">
        <is>
          <t>Multi Hop</t>
        </is>
      </c>
      <c r="F121" s="25" t="inlineStr">
        <is>
          <t>Move NFT ownership through several nodes with quorum changing</t>
        </is>
      </c>
      <c r="G121" s="25" t="inlineStr">
        <is>
          <t>MULTI-NODE</t>
        </is>
      </c>
      <c r="H121" s="25" t="inlineStr">
        <is>
          <t>Fresh per hop</t>
        </is>
      </c>
      <c r="I121" s="25" t="inlineStr">
        <is>
          <t>All hops succeed</t>
        </is>
      </c>
      <c r="J121" s="25" t="inlineStr">
        <is>
          <t>Owner correct at each step; each fresh quorum syncs history</t>
        </is>
      </c>
      <c r="K121" s="25" t="inlineStr">
        <is>
          <t>P0</t>
        </is>
      </c>
      <c r="L121" s="25" t="n"/>
      <c r="M121" s="25" t="n"/>
      <c r="N121" s="25" t="n"/>
      <c r="O121" s="25" t="n"/>
      <c r="P121" s="26" t="inlineStr">
        <is>
          <t>OK</t>
        </is>
      </c>
      <c r="Q121" s="25" t="n"/>
    </row>
    <row r="122" ht="24" customHeight="1" s="14">
      <c r="A122" s="25" t="inlineStr">
        <is>
          <t>NFT-CH-02</t>
        </is>
      </c>
      <c r="B122" s="25" t="inlineStr">
        <is>
          <t>NFT</t>
        </is>
      </c>
      <c r="C122" s="25" t="inlineStr">
        <is>
          <t>Code</t>
        </is>
      </c>
      <c r="D122" s="25" t="inlineStr">
        <is>
          <t>Functional</t>
        </is>
      </c>
      <c r="E122" s="25" t="inlineStr">
        <is>
          <t>Multi Hop</t>
        </is>
      </c>
      <c r="F122" s="25" t="inlineStr">
        <is>
          <t>Move an NFT through 10 owners</t>
        </is>
      </c>
      <c r="G122" s="25" t="inlineStr">
        <is>
          <t>MULTI-NODE</t>
        </is>
      </c>
      <c r="H122" s="25" t="inlineStr">
        <is>
          <t>Multi</t>
        </is>
      </c>
      <c r="I122" s="25" t="inlineStr">
        <is>
          <t>All succeed</t>
        </is>
      </c>
      <c r="J122" s="25" t="inlineStr">
        <is>
          <t>Time each hop as the chain grows</t>
        </is>
      </c>
      <c r="K122" s="25" t="inlineStr">
        <is>
          <t>P0</t>
        </is>
      </c>
      <c r="L122" s="25" t="n"/>
      <c r="M122" s="25" t="n"/>
      <c r="N122" s="25" t="n"/>
      <c r="O122" s="25" t="n"/>
      <c r="P122" s="26" t="inlineStr">
        <is>
          <t>OK</t>
        </is>
      </c>
      <c r="Q122" s="25" t="n"/>
    </row>
    <row r="123" ht="24" customHeight="1" s="14">
      <c r="A123" s="25" t="inlineStr">
        <is>
          <t>NFT-B-01</t>
        </is>
      </c>
      <c r="B123" s="25" t="inlineStr">
        <is>
          <t>NFT</t>
        </is>
      </c>
      <c r="C123" s="25" t="inlineStr">
        <is>
          <t>Infra</t>
        </is>
      </c>
      <c r="D123" s="25" t="inlineStr">
        <is>
          <t>Performance</t>
        </is>
      </c>
      <c r="E123" s="25" t="inlineStr">
        <is>
          <t>Bulk</t>
        </is>
      </c>
      <c r="F123" s="25" t="inlineStr">
        <is>
          <t>Deploy many NFTs in a row</t>
        </is>
      </c>
      <c r="G123" s="25" t="inlineStr">
        <is>
          <t>API</t>
        </is>
      </c>
      <c r="H123" s="25" t="inlineStr">
        <is>
          <t>Multi</t>
        </is>
      </c>
      <c r="I123" s="25" t="inlineStr">
        <is>
          <t>All succeed</t>
        </is>
      </c>
      <c r="J123" s="25" t="inlineStr">
        <is>
          <t>Plot deploy time against count</t>
        </is>
      </c>
      <c r="K123" s="25" t="inlineStr">
        <is>
          <t>P1</t>
        </is>
      </c>
      <c r="L123" s="25" t="n"/>
      <c r="M123" s="25" t="n"/>
      <c r="N123" s="25" t="n"/>
      <c r="O123" s="25" t="n"/>
      <c r="P123" s="26" t="inlineStr">
        <is>
          <t>OK</t>
        </is>
      </c>
      <c r="Q123" s="25" t="n"/>
    </row>
    <row r="124" ht="24" customHeight="1" s="14">
      <c r="A124" s="25" t="inlineStr">
        <is>
          <t>NFT-B-02</t>
        </is>
      </c>
      <c r="B124" s="25" t="inlineStr">
        <is>
          <t>NFT</t>
        </is>
      </c>
      <c r="C124" s="25" t="inlineStr">
        <is>
          <t>Infra</t>
        </is>
      </c>
      <c r="D124" s="25" t="inlineStr">
        <is>
          <t>Performance</t>
        </is>
      </c>
      <c r="E124" s="25" t="inlineStr">
        <is>
          <t>Bulk</t>
        </is>
      </c>
      <c r="F124" s="25" t="inlineStr">
        <is>
          <t>Execute NFTs at a high rate</t>
        </is>
      </c>
      <c r="G124" s="25" t="inlineStr">
        <is>
          <t>API-RACE</t>
        </is>
      </c>
      <c r="H124" s="25" t="inlineStr">
        <is>
          <t>Multi</t>
        </is>
      </c>
      <c r="I124" s="25" t="inlineStr">
        <is>
          <t>All succeed</t>
        </is>
      </c>
      <c r="J124" s="25" t="inlineStr">
        <is>
          <t>Measure speed; chain lengths all correct</t>
        </is>
      </c>
      <c r="K124" s="25" t="inlineStr">
        <is>
          <t>P1</t>
        </is>
      </c>
      <c r="L124" s="25" t="n"/>
      <c r="M124" s="25" t="n"/>
      <c r="N124" s="25" t="n"/>
      <c r="O124" s="25" t="n"/>
      <c r="P124" s="26" t="inlineStr">
        <is>
          <t>Execute NFTs at a high rate, 200 in parallel. Verify all of it in one run: Record rate, pass rate and any failures. Repeat across 50, 100, 200 in parallel, and report each assertion separately so one failure cannot hide the others. Also covers NFT-B-05, NFT-E-06.</t>
        </is>
      </c>
      <c r="Q124" s="25" t="n"/>
    </row>
    <row r="125" ht="24" customHeight="1" s="14">
      <c r="A125" s="25" t="inlineStr">
        <is>
          <t>NFT-Q-04</t>
        </is>
      </c>
      <c r="B125" s="25" t="inlineStr">
        <is>
          <t>NFT</t>
        </is>
      </c>
      <c r="C125" s="25" t="inlineStr">
        <is>
          <t>Code</t>
        </is>
      </c>
      <c r="D125" s="25" t="inlineStr">
        <is>
          <t>Functional</t>
        </is>
      </c>
      <c r="E125" s="25" t="inlineStr">
        <is>
          <t>Quorum Capacity</t>
        </is>
      </c>
      <c r="F125" s="25" t="inlineStr">
        <is>
          <t>Check the same quorum signs every NFT execute from one sender</t>
        </is>
      </c>
      <c r="G125" s="25" t="inlineStr">
        <is>
          <t>API</t>
        </is>
      </c>
      <c r="H125" s="25" t="inlineStr">
        <is>
          <t>Multi</t>
        </is>
      </c>
      <c r="I125" s="25" t="inlineStr">
        <is>
          <t>Primary quorum should stay the same</t>
        </is>
      </c>
      <c r="J125" s="25" t="inlineStr">
        <is>
          <t>The quorum query has no sort order so the pick may drift - verify before trusting groups</t>
        </is>
      </c>
      <c r="K125" s="25" t="inlineStr">
        <is>
          <t>P0</t>
        </is>
      </c>
      <c r="L125" s="25" t="inlineStr">
        <is>
          <t>core/wallet/quorum.go:68</t>
        </is>
      </c>
      <c r="M125" s="25" t="n"/>
      <c r="N125" s="25" t="n"/>
      <c r="O125" s="25" t="n"/>
      <c r="P125" s="26" t="inlineStr">
        <is>
          <t>OK and IMPORTANT - same unordered-SELECT problem as FT-Q-08; expect it to fail.</t>
        </is>
      </c>
      <c r="Q125" s="25" t="n"/>
    </row>
    <row r="126" ht="24" customHeight="1" s="14">
      <c r="A126" s="25" t="inlineStr">
        <is>
          <t>NFT-IN-01</t>
        </is>
      </c>
      <c r="B126" s="25" t="inlineStr">
        <is>
          <t>NFT</t>
        </is>
      </c>
      <c r="C126" s="25" t="inlineStr">
        <is>
          <t>Code</t>
        </is>
      </c>
      <c r="D126" s="25" t="inlineStr">
        <is>
          <t>Functional</t>
        </is>
      </c>
      <c r="E126" s="25" t="inlineStr">
        <is>
          <t>Integrity</t>
        </is>
      </c>
      <c r="F126" s="25" t="inlineStr">
        <is>
          <t>Check every NFT is owned by exactly one DID</t>
        </is>
      </c>
      <c r="G126" s="25" t="inlineStr">
        <is>
          <t>API</t>
        </is>
      </c>
      <c r="H126" s="25" t="inlineStr">
        <is>
          <t>N/A</t>
        </is>
      </c>
      <c r="I126" s="25" t="inlineStr">
        <is>
          <t>No NFT is owned twice or by nobody</t>
        </is>
      </c>
      <c r="J126" s="25" t="inlineStr">
        <is>
          <t>A transfer that half-completed leaves exactly this shape</t>
        </is>
      </c>
      <c r="K126" s="25" t="inlineStr">
        <is>
          <t>P0</t>
        </is>
      </c>
      <c r="L126" s="25" t="n"/>
      <c r="M126" s="25" t="n"/>
      <c r="N126" s="25" t="n"/>
      <c r="O126" s="25" t="n"/>
      <c r="P126" s="26" t="inlineStr">
        <is>
          <t>One fleet sweep of NFT state. Verify all of it in one run: Every NFT is owned by exactly one DID; chains agree across every node holding it; no duplicate NFT ids fleet-wide. Repeat across one sweep, every host, and report each assertion separately so one failure cannot hide the others. Also covers NFT-IN-02, NFT-IN-03.</t>
        </is>
      </c>
      <c r="Q126" s="25" t="n"/>
    </row>
    <row r="127" ht="34.5" customHeight="1" s="14">
      <c r="A127" s="25" t="inlineStr">
        <is>
          <t>NFT-DB-01</t>
        </is>
      </c>
      <c r="B127" s="25" t="inlineStr">
        <is>
          <t>NFT</t>
        </is>
      </c>
      <c r="C127" s="25" t="inlineStr">
        <is>
          <t>Code</t>
        </is>
      </c>
      <c r="D127" s="25" t="inlineStr">
        <is>
          <t>Functional</t>
        </is>
      </c>
      <c r="E127" s="25" t="inlineStr">
        <is>
          <t>DB Failure</t>
        </is>
      </c>
      <c r="F127" s="25" t="inlineStr">
        <is>
          <t>Change an NFT owner in the database then execute</t>
        </is>
      </c>
      <c r="G127" s="25" t="inlineStr">
        <is>
          <t>DB-SEED</t>
        </is>
      </c>
      <c r="H127" s="25" t="inlineStr">
        <is>
          <t>Single</t>
        </is>
      </c>
      <c r="I127" s="25" t="inlineStr">
        <is>
          <t>Rejected</t>
        </is>
      </c>
      <c r="J127" s="25" t="inlineStr">
        <is>
          <t>Ownership mismatch caught before consensus</t>
        </is>
      </c>
      <c r="K127" s="25" t="inlineStr">
        <is>
          <t>P0</t>
        </is>
      </c>
      <c r="L127" s="25" t="n"/>
      <c r="M127" s="25" t="n"/>
      <c r="N127" s="25" t="n"/>
      <c r="O127" s="25" t="n"/>
      <c r="P127" s="26" t="inlineStr">
        <is>
          <t>IN SCOPE</t>
        </is>
      </c>
      <c r="Q127" s="25" t="n"/>
    </row>
    <row r="128" ht="34.5" customHeight="1" s="14">
      <c r="A128" s="25" t="inlineStr">
        <is>
          <t>NFT-DB-02</t>
        </is>
      </c>
      <c r="B128" s="25" t="inlineStr">
        <is>
          <t>NFT</t>
        </is>
      </c>
      <c r="C128" s="25" t="inlineStr">
        <is>
          <t>Code</t>
        </is>
      </c>
      <c r="D128" s="25" t="inlineStr">
        <is>
          <t>Functional</t>
        </is>
      </c>
      <c r="E128" s="25" t="inlineStr">
        <is>
          <t>DB Failure</t>
        </is>
      </c>
      <c r="F128" s="25" t="inlineStr">
        <is>
          <t>Delete an NFT chain row then execute</t>
        </is>
      </c>
      <c r="G128" s="25" t="inlineStr">
        <is>
          <t>DB-SEED</t>
        </is>
      </c>
      <c r="H128" s="25" t="inlineStr">
        <is>
          <t>Single</t>
        </is>
      </c>
      <c r="I128" s="25" t="inlineStr">
        <is>
          <t>Rejected</t>
        </is>
      </c>
      <c r="J128" s="25" t="inlineStr">
        <is>
          <t>Chain integrity check catches it</t>
        </is>
      </c>
      <c r="K128" s="25" t="inlineStr">
        <is>
          <t>P0</t>
        </is>
      </c>
      <c r="L128" s="25" t="n"/>
      <c r="M128" s="25" t="n"/>
      <c r="N128" s="25" t="n"/>
      <c r="O128" s="25" t="n"/>
      <c r="P128" s="26" t="inlineStr">
        <is>
          <t>IN SCOPE</t>
        </is>
      </c>
      <c r="Q128" s="25" t="n"/>
    </row>
    <row r="129" ht="24" customHeight="1" s="14">
      <c r="A129" s="25" t="inlineStr">
        <is>
          <t>NFT-DB-03</t>
        </is>
      </c>
      <c r="B129" s="25" t="inlineStr">
        <is>
          <t>NFT</t>
        </is>
      </c>
      <c r="C129" s="25" t="inlineStr">
        <is>
          <t>Code</t>
        </is>
      </c>
      <c r="D129" s="25" t="inlineStr">
        <is>
          <t>Functional</t>
        </is>
      </c>
      <c r="E129" s="25" t="inlineStr">
        <is>
          <t>DB Failure</t>
        </is>
      </c>
      <c r="F129" s="25" t="inlineStr">
        <is>
          <t>Leave a child NFT pointing at a missing parent</t>
        </is>
      </c>
      <c r="G129" s="25" t="inlineStr">
        <is>
          <t>DB-SEED</t>
        </is>
      </c>
      <c r="H129" s="25" t="inlineStr">
        <is>
          <t>Single</t>
        </is>
      </c>
      <c r="I129" s="25" t="inlineStr">
        <is>
          <t>Record the behaviour</t>
        </is>
      </c>
      <c r="J129" s="25" t="inlineStr">
        <is>
          <t>Orphan children are reachable through the parent query - confirm it fails safely</t>
        </is>
      </c>
      <c r="K129" s="25" t="inlineStr">
        <is>
          <t>P1</t>
        </is>
      </c>
      <c r="L129" s="25" t="n"/>
      <c r="M129" s="25" t="n"/>
      <c r="N129" s="25" t="n"/>
      <c r="O129" s="25" t="n"/>
      <c r="P129" s="26" t="inlineStr">
        <is>
          <t>IN SCOPE (record-only)</t>
        </is>
      </c>
      <c r="Q129" s="25" t="n"/>
    </row>
    <row r="130" ht="24" customHeight="1" s="14">
      <c r="A130" s="25" t="inlineStr">
        <is>
          <t>SC-D-02</t>
        </is>
      </c>
      <c r="B130" s="25" t="inlineStr">
        <is>
          <t>SC</t>
        </is>
      </c>
      <c r="C130" s="25" t="inlineStr">
        <is>
          <t>Code</t>
        </is>
      </c>
      <c r="D130" s="25" t="inlineStr">
        <is>
          <t>Functional</t>
        </is>
      </c>
      <c r="E130" s="25" t="inlineStr">
        <is>
          <t>Deploy</t>
        </is>
      </c>
      <c r="F130" s="25" t="inlineStr">
        <is>
          <t>Deploy without giving an owner</t>
        </is>
      </c>
      <c r="G130" s="25" t="inlineStr">
        <is>
          <t>API</t>
        </is>
      </c>
      <c r="H130" s="25" t="inlineStr">
        <is>
          <t>Single</t>
        </is>
      </c>
      <c r="I130" s="25" t="inlineStr">
        <is>
          <t>Succeeds - deployer is owner</t>
        </is>
      </c>
      <c r="J130" s="25" t="inlineStr">
        <is>
          <t>Owner falls back to initiator</t>
        </is>
      </c>
      <c r="K130" s="25" t="inlineStr">
        <is>
          <t>P1</t>
        </is>
      </c>
      <c r="L130" s="25" t="inlineStr">
        <is>
          <t>core/consensus/checks.go:53</t>
        </is>
      </c>
      <c r="M130" s="25" t="n"/>
      <c r="N130" s="25" t="n"/>
      <c r="O130" s="25" t="n"/>
      <c r="P130" s="26" t="inlineStr">
        <is>
          <t>OK - SC owner is always ""; the deployer is the owner.</t>
        </is>
      </c>
      <c r="Q130" s="25" t="n"/>
    </row>
    <row r="131" ht="15" customHeight="1" s="14">
      <c r="A131" s="25" t="inlineStr">
        <is>
          <t>SC-D-04</t>
        </is>
      </c>
      <c r="B131" s="25" t="inlineStr">
        <is>
          <t>SC</t>
        </is>
      </c>
      <c r="C131" s="25" t="inlineStr">
        <is>
          <t>Code</t>
        </is>
      </c>
      <c r="D131" s="25" t="inlineStr">
        <is>
          <t>Functional</t>
        </is>
      </c>
      <c r="E131" s="25" t="inlineStr">
        <is>
          <t>Deploy</t>
        </is>
      </c>
      <c r="F131" s="25" t="inlineStr">
        <is>
          <t>Deploy contracts of increasing size</t>
        </is>
      </c>
      <c r="G131" s="25" t="inlineStr">
        <is>
          <t>API</t>
        </is>
      </c>
      <c r="H131" s="25" t="inlineStr">
        <is>
          <t>Single</t>
        </is>
      </c>
      <c r="I131" s="25" t="inlineStr">
        <is>
          <t>Find the practical size limit</t>
        </is>
      </c>
      <c r="J131" s="25" t="inlineStr">
        <is>
          <t>Time the deploy against file size</t>
        </is>
      </c>
      <c r="K131" s="25" t="inlineStr">
        <is>
          <t>P1</t>
        </is>
      </c>
      <c r="L131" s="25" t="n"/>
      <c r="M131" s="25" t="n"/>
      <c r="N131" s="25" t="n"/>
      <c r="O131" s="25" t="n"/>
      <c r="P131" s="26" t="inlineStr">
        <is>
          <t>Deploy contracts of increasing size, plus one broken/oversized wasm. Verify all of it in one run: Find the practical size limit; the broken file is rejected cleanly rather than with a raw 500. Repeat across sizes climbing until refused, plus one truncated and one non-wasm file, and report each assertion separately so one failure cannot hide the others. Also covers SC-D-03.</t>
        </is>
      </c>
      <c r="Q131" s="25" t="n"/>
    </row>
    <row r="132" ht="15" customHeight="1" s="14">
      <c r="A132" s="25" t="inlineStr">
        <is>
          <t>SC-D-05</t>
        </is>
      </c>
      <c r="B132" s="25" t="inlineStr">
        <is>
          <t>SC</t>
        </is>
      </c>
      <c r="C132" s="25" t="inlineStr">
        <is>
          <t>Code</t>
        </is>
      </c>
      <c r="D132" s="25" t="inlineStr">
        <is>
          <t>Functional</t>
        </is>
      </c>
      <c r="E132" s="25" t="inlineStr">
        <is>
          <t>Deploy</t>
        </is>
      </c>
      <c r="F132" s="25" t="inlineStr">
        <is>
          <t>Deploy several contracts at the same time</t>
        </is>
      </c>
      <c r="G132" s="25" t="inlineStr">
        <is>
          <t>API-RACE</t>
        </is>
      </c>
      <c r="H132" s="25" t="inlineStr">
        <is>
          <t>Multi</t>
        </is>
      </c>
      <c r="I132" s="25" t="inlineStr">
        <is>
          <t>All succeed</t>
        </is>
      </c>
      <c r="J132" s="25" t="inlineStr">
        <is>
          <t>No ID clashes</t>
        </is>
      </c>
      <c r="K132" s="25" t="inlineStr">
        <is>
          <t>P1</t>
        </is>
      </c>
      <c r="L132" s="25" t="n"/>
      <c r="M132" s="25" t="n"/>
      <c r="N132" s="25" t="n"/>
      <c r="O132" s="25" t="n"/>
      <c r="P132" s="26" t="inlineStr">
        <is>
          <t>OK</t>
        </is>
      </c>
      <c r="Q132" s="25" t="n"/>
    </row>
    <row r="133" ht="15" customHeight="1" s="14">
      <c r="A133" s="25" t="inlineStr">
        <is>
          <t>SC-E-03</t>
        </is>
      </c>
      <c r="B133" s="25" t="inlineStr">
        <is>
          <t>SC</t>
        </is>
      </c>
      <c r="C133" s="25" t="inlineStr">
        <is>
          <t>Code</t>
        </is>
      </c>
      <c r="D133" s="25" t="inlineStr">
        <is>
          <t>Functional</t>
        </is>
      </c>
      <c r="E133" s="25" t="inlineStr">
        <is>
          <t>Execute</t>
        </is>
      </c>
      <c r="F133" s="25" t="inlineStr">
        <is>
          <t>Execute repeatedly from both nodes in turn</t>
        </is>
      </c>
      <c r="G133" s="25" t="inlineStr">
        <is>
          <t>API</t>
        </is>
      </c>
      <c r="H133" s="25" t="inlineStr">
        <is>
          <t>Single</t>
        </is>
      </c>
      <c r="I133" s="25" t="inlineStr">
        <is>
          <t>All succeed</t>
        </is>
      </c>
      <c r="J133" s="25" t="inlineStr">
        <is>
          <t>Chain stays consistent on both sides</t>
        </is>
      </c>
      <c r="K133" s="25" t="inlineStr">
        <is>
          <t>P1</t>
        </is>
      </c>
      <c r="L133" s="25" t="n"/>
      <c r="M133" s="25" t="n"/>
      <c r="N133" s="25" t="n"/>
      <c r="O133" s="25" t="n"/>
      <c r="P133" s="26" t="inlineStr">
        <is>
          <t>OK</t>
        </is>
      </c>
      <c r="Q133" s="25" t="n"/>
    </row>
    <row r="134" ht="15" customHeight="1" s="14">
      <c r="A134" s="25" t="inlineStr">
        <is>
          <t>SC-E-04</t>
        </is>
      </c>
      <c r="B134" s="25" t="inlineStr">
        <is>
          <t>SC</t>
        </is>
      </c>
      <c r="C134" s="25" t="inlineStr">
        <is>
          <t>Code</t>
        </is>
      </c>
      <c r="D134" s="25" t="inlineStr">
        <is>
          <t>Functional</t>
        </is>
      </c>
      <c r="E134" s="25" t="inlineStr">
        <is>
          <t>Execute</t>
        </is>
      </c>
      <c r="F134" s="25" t="inlineStr">
        <is>
          <t>Execute the same contract from two nodes at once</t>
        </is>
      </c>
      <c r="G134" s="25" t="inlineStr">
        <is>
          <t>API-RACE</t>
        </is>
      </c>
      <c r="H134" s="25" t="inlineStr">
        <is>
          <t>Single</t>
        </is>
      </c>
      <c r="I134" s="25" t="inlineStr">
        <is>
          <t>Both handled cleanly</t>
        </is>
      </c>
      <c r="J134" s="25" t="inlineStr">
        <is>
          <t>Chain has no gaps or duplicates</t>
        </is>
      </c>
      <c r="K134" s="25" t="inlineStr">
        <is>
          <t>P0</t>
        </is>
      </c>
      <c r="L134" s="25" t="n"/>
      <c r="M134" s="25" t="n"/>
      <c r="N134" s="25" t="n"/>
      <c r="O134" s="25" t="n"/>
      <c r="P134" s="26" t="inlineStr">
        <is>
          <t>OK</t>
        </is>
      </c>
      <c r="Q134" s="25" t="n"/>
    </row>
    <row r="135" ht="15" customHeight="1" s="14">
      <c r="A135" s="25" t="inlineStr">
        <is>
          <t>SC-E-05</t>
        </is>
      </c>
      <c r="B135" s="25" t="inlineStr">
        <is>
          <t>SC</t>
        </is>
      </c>
      <c r="C135" s="25" t="inlineStr">
        <is>
          <t>Code</t>
        </is>
      </c>
      <c r="D135" s="25" t="inlineStr">
        <is>
          <t>Functional</t>
        </is>
      </c>
      <c r="E135" s="25" t="inlineStr">
        <is>
          <t>Execute</t>
        </is>
      </c>
      <c r="F135" s="25" t="inlineStr">
        <is>
          <t>Execute 50 times and watch the chain grow</t>
        </is>
      </c>
      <c r="G135" s="25" t="inlineStr">
        <is>
          <t>API</t>
        </is>
      </c>
      <c r="H135" s="25" t="inlineStr">
        <is>
          <t>Single</t>
        </is>
      </c>
      <c r="I135" s="25" t="inlineStr">
        <is>
          <t>All succeed</t>
        </is>
      </c>
      <c r="J135" s="25" t="inlineStr">
        <is>
          <t>Time per execute as the chain lengthens</t>
        </is>
      </c>
      <c r="K135" s="25" t="inlineStr">
        <is>
          <t>P0</t>
        </is>
      </c>
      <c r="L135" s="25" t="n"/>
      <c r="M135" s="25" t="n"/>
      <c r="N135" s="25" t="n"/>
      <c r="O135" s="25" t="n"/>
      <c r="P135" s="26" t="inlineStr">
        <is>
          <t>OK</t>
        </is>
      </c>
      <c r="Q135" s="25" t="n"/>
    </row>
    <row r="136" ht="15" customHeight="1" s="14">
      <c r="A136" s="25" t="inlineStr">
        <is>
          <t>SC-E-06</t>
        </is>
      </c>
      <c r="B136" s="25" t="inlineStr">
        <is>
          <t>SC</t>
        </is>
      </c>
      <c r="C136" s="25" t="inlineStr">
        <is>
          <t>Code</t>
        </is>
      </c>
      <c r="D136" s="25" t="inlineStr">
        <is>
          <t>Functional</t>
        </is>
      </c>
      <c r="E136" s="25" t="inlineStr">
        <is>
          <t>Execute</t>
        </is>
      </c>
      <c r="F136" s="25" t="inlineStr">
        <is>
          <t>One DID executes ONE contract several times in parallel, then the same for an NFT</t>
        </is>
      </c>
      <c r="G136" s="25" t="inlineStr">
        <is>
          <t>API-RACE</t>
        </is>
      </c>
      <c r="H136" s="25" t="inlineStr">
        <is>
          <t>Single</t>
        </is>
      </c>
      <c r="I136" s="25" t="inlineStr">
        <is>
          <t>The chain is intact and identical on the executor and the quorum</t>
        </is>
      </c>
      <c r="J136" s="25" t="n"/>
      <c r="K136" s="25" t="inlineStr">
        <is>
          <t>P0</t>
        </is>
      </c>
      <c r="L136" s="25" t="inlineStr">
        <is>
          <t>core/token.go GetMissingBlockSequence</t>
        </is>
      </c>
      <c r="M136" s="25" t="n"/>
      <c r="N136" s="25" t="n"/>
      <c r="O136" s="25" t="n"/>
      <c r="P136" s="26" t="inlineStr">
        <is>
          <t>Run at 5, 10 and 25 parallel requests from the same DID against the same contract. On BOTH the executor and the quorum: positions strictly sequential with no gaps, every previous_transaction_id matching the prior entry, no position twice, and chain length equal to the number of executes that succeeded. Then diff the two chains row by row - agreeing on length while disagreeing on content is the failure worth catching. Repeat for an NFT execute.</t>
        </is>
      </c>
      <c r="Q136" s="25" t="n"/>
    </row>
    <row r="137" ht="15" customHeight="1" s="14">
      <c r="A137" s="25" t="inlineStr">
        <is>
          <t>SC-K-04</t>
        </is>
      </c>
      <c r="B137" s="25" t="inlineStr">
        <is>
          <t>SC</t>
        </is>
      </c>
      <c r="C137" s="25" t="inlineStr">
        <is>
          <t>Code</t>
        </is>
      </c>
      <c r="D137" s="25" t="inlineStr">
        <is>
          <t>Functional</t>
        </is>
      </c>
      <c r="E137" s="25" t="inlineStr">
        <is>
          <t>Callback</t>
        </is>
      </c>
      <c r="F137" s="25" t="inlineStr">
        <is>
          <t>Execute when the callback URL is down</t>
        </is>
      </c>
      <c r="G137" s="25" t="inlineStr">
        <is>
          <t>API</t>
        </is>
      </c>
      <c r="H137" s="25" t="inlineStr">
        <is>
          <t>Single</t>
        </is>
      </c>
      <c r="I137" s="25" t="inlineStr">
        <is>
          <t>Execution still succeeds</t>
        </is>
      </c>
      <c r="J137" s="25" t="inlineStr">
        <is>
          <t>Callback failure logged but does not fail the transaction</t>
        </is>
      </c>
      <c r="K137" s="25" t="inlineStr">
        <is>
          <t>P1</t>
        </is>
      </c>
      <c r="L137" s="25" t="n"/>
      <c r="M137" s="25" t="n"/>
      <c r="N137" s="25" t="n"/>
      <c r="O137" s="25" t="n"/>
      <c r="P137" s="26" t="inlineStr">
        <is>
          <t>OK - callback URL down must not fail the execute.</t>
        </is>
      </c>
      <c r="Q137" s="25" t="n"/>
    </row>
    <row r="138" ht="24" customHeight="1" s="14">
      <c r="A138" s="25" t="inlineStr">
        <is>
          <t>SC-K-05</t>
        </is>
      </c>
      <c r="B138" s="25" t="inlineStr">
        <is>
          <t>SC</t>
        </is>
      </c>
      <c r="C138" s="25" t="inlineStr">
        <is>
          <t>Code</t>
        </is>
      </c>
      <c r="D138" s="25" t="inlineStr">
        <is>
          <t>Functional</t>
        </is>
      </c>
      <c r="E138" s="25" t="inlineStr">
        <is>
          <t>Callback</t>
        </is>
      </c>
      <c r="F138" s="25" t="inlineStr">
        <is>
          <t>Fire many executions quickly and count callbacks</t>
        </is>
      </c>
      <c r="G138" s="25" t="inlineStr">
        <is>
          <t>API-RACE</t>
        </is>
      </c>
      <c r="H138" s="25" t="inlineStr">
        <is>
          <t>Multi</t>
        </is>
      </c>
      <c r="I138" s="25" t="inlineStr">
        <is>
          <t>Every execution produces a callback</t>
        </is>
      </c>
      <c r="J138" s="25" t="inlineStr">
        <is>
          <t>None dropped under load</t>
        </is>
      </c>
      <c r="K138" s="25" t="inlineStr">
        <is>
          <t>P0</t>
        </is>
      </c>
      <c r="L138" s="25" t="n"/>
      <c r="M138" s="25" t="n"/>
      <c r="N138" s="25" t="n"/>
      <c r="O138" s="25" t="n"/>
      <c r="P138" s="26" t="inlineStr">
        <is>
          <t>OK - callbacks must advertise the controller's LAN IP, not host.docker.internal.</t>
        </is>
      </c>
      <c r="Q138" s="25" t="n"/>
    </row>
    <row r="139" ht="24" customHeight="1" s="14">
      <c r="A139" s="25" t="inlineStr">
        <is>
          <t>SC-B-01</t>
        </is>
      </c>
      <c r="B139" s="25" t="inlineStr">
        <is>
          <t>SC</t>
        </is>
      </c>
      <c r="C139" s="25" t="inlineStr">
        <is>
          <t>Infra</t>
        </is>
      </c>
      <c r="D139" s="25" t="inlineStr">
        <is>
          <t>Performance</t>
        </is>
      </c>
      <c r="E139" s="25" t="inlineStr">
        <is>
          <t>Bulk</t>
        </is>
      </c>
      <c r="F139" s="25" t="inlineStr">
        <is>
          <t>Deploy many contracts in a row</t>
        </is>
      </c>
      <c r="G139" s="25" t="inlineStr">
        <is>
          <t>API</t>
        </is>
      </c>
      <c r="H139" s="25" t="inlineStr">
        <is>
          <t>Multi</t>
        </is>
      </c>
      <c r="I139" s="25" t="inlineStr">
        <is>
          <t>All succeed</t>
        </is>
      </c>
      <c r="J139" s="25" t="inlineStr">
        <is>
          <t>Measure deploy time</t>
        </is>
      </c>
      <c r="K139" s="25" t="inlineStr">
        <is>
          <t>P1</t>
        </is>
      </c>
      <c r="L139" s="25" t="n"/>
      <c r="M139" s="25" t="n"/>
      <c r="N139" s="25" t="n"/>
      <c r="O139" s="25" t="n"/>
      <c r="P139" s="26" t="inlineStr">
        <is>
          <t>OK</t>
        </is>
      </c>
      <c r="Q139" s="25" t="n"/>
    </row>
    <row r="140" ht="15" customHeight="1" s="14">
      <c r="A140" s="25" t="inlineStr">
        <is>
          <t>SC-B-02</t>
        </is>
      </c>
      <c r="B140" s="25" t="inlineStr">
        <is>
          <t>SC</t>
        </is>
      </c>
      <c r="C140" s="25" t="inlineStr">
        <is>
          <t>Infra</t>
        </is>
      </c>
      <c r="D140" s="25" t="inlineStr">
        <is>
          <t>Performance</t>
        </is>
      </c>
      <c r="E140" s="25" t="inlineStr">
        <is>
          <t>Bulk</t>
        </is>
      </c>
      <c r="F140" s="25" t="inlineStr">
        <is>
          <t>Execute contracts at a high rate</t>
        </is>
      </c>
      <c r="G140" s="25" t="inlineStr">
        <is>
          <t>API-RACE</t>
        </is>
      </c>
      <c r="H140" s="25" t="inlineStr">
        <is>
          <t>Multi</t>
        </is>
      </c>
      <c r="I140" s="25" t="inlineStr">
        <is>
          <t>All succeed</t>
        </is>
      </c>
      <c r="J140" s="25" t="inlineStr">
        <is>
          <t>Measure speed; chains stay consistent</t>
        </is>
      </c>
      <c r="K140" s="25" t="inlineStr">
        <is>
          <t>P1</t>
        </is>
      </c>
      <c r="L140" s="25" t="n"/>
      <c r="M140" s="25" t="n"/>
      <c r="N140" s="25" t="n"/>
      <c r="O140" s="25" t="n"/>
      <c r="P140" s="26" t="inlineStr">
        <is>
          <t>Execute contracts at a high rate, 200 in parallel. Verify all of it in one run: Record rate and any failures. Repeat across 50, 100, 200 in parallel, and report each assertion separately so one failure cannot hide the others. Also covers SC-B-03.</t>
        </is>
      </c>
      <c r="Q140" s="25" t="n"/>
    </row>
    <row r="141" ht="15" customHeight="1" s="14">
      <c r="A141" s="25" t="inlineStr">
        <is>
          <t>SC-B-04</t>
        </is>
      </c>
      <c r="B141" s="25" t="inlineStr">
        <is>
          <t>SC</t>
        </is>
      </c>
      <c r="C141" s="25" t="inlineStr">
        <is>
          <t>Infra</t>
        </is>
      </c>
      <c r="D141" s="25" t="inlineStr">
        <is>
          <t>Performance</t>
        </is>
      </c>
      <c r="E141" s="25" t="inlineStr">
        <is>
          <t>Bulk</t>
        </is>
      </c>
      <c r="F141" s="25" t="inlineStr">
        <is>
          <t>Deploy contracts with values at a high rate</t>
        </is>
      </c>
      <c r="G141" s="25" t="inlineStr">
        <is>
          <t>API-RACE</t>
        </is>
      </c>
      <c r="H141" s="25" t="inlineStr">
        <is>
          <t>Multi</t>
        </is>
      </c>
      <c r="I141" s="25" t="inlineStr">
        <is>
          <t>Record the rate</t>
        </is>
      </c>
      <c r="J141" s="25" t="inlineStr">
        <is>
          <t>Collateral accounting must hold under load - the fractional path especially</t>
        </is>
      </c>
      <c r="K141" s="25" t="inlineStr">
        <is>
          <t>P0</t>
        </is>
      </c>
      <c r="L141" s="25" t="inlineStr">
        <is>
          <t>core/consensus/consensus.go:31</t>
        </is>
      </c>
      <c r="M141" s="25" t="n"/>
      <c r="N141" s="25" t="n"/>
      <c r="O141" s="25" t="n"/>
      <c r="P141" s="26" t="inlineStr">
        <is>
          <t>OK (record-only)</t>
        </is>
      </c>
      <c r="Q141" s="25" t="n"/>
    </row>
    <row r="142" ht="24" customHeight="1" s="14">
      <c r="A142" s="25" t="inlineStr">
        <is>
          <t>SC-C-01</t>
        </is>
      </c>
      <c r="B142" s="25" t="inlineStr">
        <is>
          <t>SC</t>
        </is>
      </c>
      <c r="C142" s="25" t="inlineStr">
        <is>
          <t>Code</t>
        </is>
      </c>
      <c r="D142" s="25" t="inlineStr">
        <is>
          <t>Functional</t>
        </is>
      </c>
      <c r="E142" s="25" t="inlineStr">
        <is>
          <t>Collateral</t>
        </is>
      </c>
      <c r="F142" s="25" t="inlineStr">
        <is>
          <t>Deploy a contract with a random fractional value below one</t>
        </is>
      </c>
      <c r="G142" s="25" t="inlineStr">
        <is>
          <t>API</t>
        </is>
      </c>
      <c r="H142" s="25" t="inlineStr">
        <is>
          <t>Single</t>
        </is>
      </c>
      <c r="I142" s="25" t="inlineStr">
        <is>
          <t>Succeeds and costs exactly that value</t>
        </is>
      </c>
      <c r="J142" s="25" t="inlineStr">
        <is>
          <t>The value used is printed in the result so a failure stays reproducible; 0.001 specifically is covered by SC-C-02 and the SC-C-13 ladder</t>
        </is>
      </c>
      <c r="K142" s="25" t="inlineStr">
        <is>
          <t>P0</t>
        </is>
      </c>
      <c r="L142" s="25" t="inlineStr">
        <is>
          <t>core/wallet/post_consensus_payload_builder.go:226</t>
        </is>
      </c>
      <c r="M142" s="25" t="n"/>
      <c r="N142" s="25" t="inlineStr">
        <is>
          <t>master</t>
        </is>
      </c>
      <c r="O142" s="25" t="n"/>
      <c r="P142" s="26" t="inlineStr">
        <is>
          <t>ONE fractional-value deploy, with every table read before and after. Verify all of it in one run: Costs exactly the value; committed total equals the value; change token exists as a row at the expected denomination; chain rows exist for the contract and every split child; the deploy appears in the transactions table. Repeat across at least five values: 0.001, 0.007, a random fraction below 1, exactly 1.0, and a value above 1 - every assertion repeated at each, and report each assertion separately so one failure cannot hide the others. Also covers SC-C-02, SC-C-08, SC-C-10, SC-C-20, SC-C-21, SC-C-22. Build the wallet this case needs before starting - never skip on shape. See 'Wallet preparation' in the Legend.</t>
        </is>
      </c>
      <c r="Q142" s="25" t="n"/>
    </row>
    <row r="143" ht="15" customHeight="1" s="14">
      <c r="A143" s="25" t="inlineStr">
        <is>
          <t>SC-C-04</t>
        </is>
      </c>
      <c r="B143" s="25" t="inlineStr">
        <is>
          <t>SC</t>
        </is>
      </c>
      <c r="C143" s="25" t="inlineStr">
        <is>
          <t>Code</t>
        </is>
      </c>
      <c r="D143" s="25" t="inlineStr">
        <is>
          <t>Functional</t>
        </is>
      </c>
      <c r="E143" s="25" t="inlineStr">
        <is>
          <t>Collateral</t>
        </is>
      </c>
      <c r="F143" s="25" t="inlineStr">
        <is>
          <t>Deploy a contract with a value of exactly 1.0</t>
        </is>
      </c>
      <c r="G143" s="25" t="inlineStr">
        <is>
          <t>API</t>
        </is>
      </c>
      <c r="H143" s="25" t="inlineStr">
        <is>
          <t>Single</t>
        </is>
      </c>
      <c r="I143" s="25" t="inlineStr">
        <is>
          <t>Succeeds and costs exactly 1.0</t>
        </is>
      </c>
      <c r="J143" s="25" t="inlineStr">
        <is>
          <t>Control for SC-C-01 - the one value where committing a whole token is correct, so a pass here with SC-C-01 failing pins the fault to fractional handling</t>
        </is>
      </c>
      <c r="K143" s="25" t="inlineStr">
        <is>
          <t>P1</t>
        </is>
      </c>
      <c r="L143" s="25" t="inlineStr">
        <is>
          <t>core/wallet/post_consensus_payload_builder.go:226</t>
        </is>
      </c>
      <c r="M143" s="25" t="n"/>
      <c r="N143" s="25" t="inlineStr">
        <is>
          <t>master</t>
        </is>
      </c>
      <c r="O143" s="25" t="n"/>
      <c r="P143" s="26" t="inlineStr">
        <is>
          <t>OK</t>
        </is>
      </c>
      <c r="Q143" s="25" t="n"/>
    </row>
    <row r="144" ht="24" customHeight="1" s="14">
      <c r="A144" s="25" t="inlineStr">
        <is>
          <t>SC-C-05</t>
        </is>
      </c>
      <c r="B144" s="25" t="inlineStr">
        <is>
          <t>SC</t>
        </is>
      </c>
      <c r="C144" s="25" t="inlineStr">
        <is>
          <t>Code</t>
        </is>
      </c>
      <c r="D144" s="25" t="inlineStr">
        <is>
          <t>Functional</t>
        </is>
      </c>
      <c r="E144" s="25" t="inlineStr">
        <is>
          <t>Collateral</t>
        </is>
      </c>
      <c r="F144" s="25" t="inlineStr">
        <is>
          <t>Execute a contract that carries a value</t>
        </is>
      </c>
      <c r="G144" s="25" t="inlineStr">
        <is>
          <t>API</t>
        </is>
      </c>
      <c r="H144" s="25" t="inlineStr">
        <is>
          <t>Single</t>
        </is>
      </c>
      <c r="I144" s="25" t="inlineStr">
        <is>
          <t>Succeeds</t>
        </is>
      </c>
      <c r="J144" s="25" t="inlineStr">
        <is>
          <t>Quorum pledges at least the contract value</t>
        </is>
      </c>
      <c r="K144" s="25" t="inlineStr">
        <is>
          <t>P1</t>
        </is>
      </c>
      <c r="L144" s="25" t="inlineStr">
        <is>
          <t>core/consensus/checks.go:539</t>
        </is>
      </c>
      <c r="M144" s="25" t="n"/>
      <c r="N144" s="25" t="inlineStr">
        <is>
          <t>master</t>
        </is>
      </c>
      <c r="O144" s="25" t="n"/>
      <c r="P144" s="26" t="inlineStr">
        <is>
          <t>OK</t>
        </is>
      </c>
      <c r="Q144" s="25" t="n"/>
    </row>
    <row r="145" ht="15" customHeight="1" s="14">
      <c r="A145" s="25" t="inlineStr">
        <is>
          <t>SC-C-06</t>
        </is>
      </c>
      <c r="B145" s="25" t="inlineStr">
        <is>
          <t>SC</t>
        </is>
      </c>
      <c r="C145" s="25" t="inlineStr">
        <is>
          <t>Code</t>
        </is>
      </c>
      <c r="D145" s="25" t="inlineStr">
        <is>
          <t>Negative</t>
        </is>
      </c>
      <c r="E145" s="25" t="inlineStr">
        <is>
          <t>Collateral</t>
        </is>
      </c>
      <c r="F145" s="25" t="inlineStr">
        <is>
          <t>Deploy with a value larger than the wallet holds</t>
        </is>
      </c>
      <c r="G145" s="25" t="inlineStr">
        <is>
          <t>API</t>
        </is>
      </c>
      <c r="H145" s="25" t="inlineStr">
        <is>
          <t>Single</t>
        </is>
      </c>
      <c r="I145" s="25" t="inlineStr">
        <is>
          <t>Rejected</t>
        </is>
      </c>
      <c r="J145" s="25" t="inlineStr">
        <is>
          <t>Nothing committed; locked tokens released; balance unchanged</t>
        </is>
      </c>
      <c r="K145" s="25" t="inlineStr">
        <is>
          <t>P1</t>
        </is>
      </c>
      <c r="L145" s="25" t="inlineStr">
        <is>
          <t>core/wallet/post_consensus_payload_builder.go:226</t>
        </is>
      </c>
      <c r="M145" s="25" t="n"/>
      <c r="N145" s="25" t="inlineStr">
        <is>
          <t>master</t>
        </is>
      </c>
      <c r="O145" s="25" t="n"/>
      <c r="P145" s="26" t="inlineStr">
        <is>
          <t>OK</t>
        </is>
      </c>
      <c r="Q145" s="25" t="n"/>
    </row>
    <row r="146" ht="24" customHeight="1" s="14">
      <c r="A146" s="25" t="inlineStr">
        <is>
          <t>SC-C-09</t>
        </is>
      </c>
      <c r="B146" s="25" t="inlineStr">
        <is>
          <t>SC</t>
        </is>
      </c>
      <c r="C146" s="25" t="inlineStr">
        <is>
          <t>Code</t>
        </is>
      </c>
      <c r="D146" s="25" t="inlineStr">
        <is>
          <t>Functional</t>
        </is>
      </c>
      <c r="E146" s="25" t="inlineStr">
        <is>
          <t>Collateral</t>
        </is>
      </c>
      <c r="F146" s="25" t="inlineStr">
        <is>
          <t>Execute a contract from a subscribed node using part tokens</t>
        </is>
      </c>
      <c r="G146" s="25" t="inlineStr">
        <is>
          <t>API</t>
        </is>
      </c>
      <c r="H146" s="25" t="inlineStr">
        <is>
          <t>Single</t>
        </is>
      </c>
      <c r="I146" s="25" t="inlineStr">
        <is>
          <t>Succeeds and the executor is charged nothing</t>
        </is>
      </c>
      <c r="J146" s="25" t="inlineStr">
        <is>
          <t>Execute takes no collateral - only deploy does; denom counter stays consistent; parts not destroyed</t>
        </is>
      </c>
      <c r="K146" s="25" t="inlineStr">
        <is>
          <t>P0</t>
        </is>
      </c>
      <c r="L146" s="25" t="inlineStr">
        <is>
          <t>core/wallet/post_consensus_payload_builder.go:226</t>
        </is>
      </c>
      <c r="M146" s="25" t="n"/>
      <c r="N146" s="25" t="inlineStr">
        <is>
          <t>master</t>
        </is>
      </c>
      <c r="O146" s="25" t="n"/>
      <c r="P146" s="26" t="inlineStr">
        <is>
          <t>OK Build the wallet this case needs before starting - never skip on shape. See 'Wallet preparation' in the Legend.</t>
        </is>
      </c>
      <c r="Q146" s="25" t="n"/>
    </row>
    <row r="147" ht="15" customHeight="1" s="14">
      <c r="A147" s="25" t="inlineStr">
        <is>
          <t>SC-C-11</t>
        </is>
      </c>
      <c r="B147" s="25" t="inlineStr">
        <is>
          <t>SC</t>
        </is>
      </c>
      <c r="C147" s="25" t="inlineStr">
        <is>
          <t>Code</t>
        </is>
      </c>
      <c r="D147" s="25" t="inlineStr">
        <is>
          <t>Functional</t>
        </is>
      </c>
      <c r="E147" s="25" t="inlineStr">
        <is>
          <t>Collateral</t>
        </is>
      </c>
      <c r="F147" s="25" t="inlineStr">
        <is>
          <t>Deploy a contract with no value or a value of zero</t>
        </is>
      </c>
      <c r="G147" s="25" t="inlineStr">
        <is>
          <t>API</t>
        </is>
      </c>
      <c r="H147" s="25" t="inlineStr">
        <is>
          <t>Single</t>
        </is>
      </c>
      <c r="I147" s="25" t="inlineStr">
        <is>
          <t>Succeeds and takes no collateral</t>
        </is>
      </c>
      <c r="J147" s="25" t="inlineStr">
        <is>
          <t>No tokens committed; free balance unchanged; denomination counter untouched</t>
        </is>
      </c>
      <c r="K147" s="25" t="inlineStr">
        <is>
          <t>P0</t>
        </is>
      </c>
      <c r="L147" s="25" t="inlineStr">
        <is>
          <t>core/transaction_builder.go</t>
        </is>
      </c>
      <c r="M147" s="25" t="n"/>
      <c r="N147" s="25" t="inlineStr">
        <is>
          <t>master</t>
        </is>
      </c>
      <c r="O147" s="25" t="n"/>
      <c r="P147" s="26" t="inlineStr">
        <is>
          <t>OK - zero-value deploy. Earlier runs saw a raw 500 here; assert a clean rejection or a clean success, not a 500.</t>
        </is>
      </c>
      <c r="Q147" s="25" t="n"/>
    </row>
    <row r="148" ht="112.5" customHeight="1" s="14">
      <c r="A148" s="25" t="inlineStr">
        <is>
          <t>SC-C-12</t>
        </is>
      </c>
      <c r="B148" s="25" t="inlineStr">
        <is>
          <t>SC</t>
        </is>
      </c>
      <c r="C148" s="25" t="inlineStr">
        <is>
          <t>Code</t>
        </is>
      </c>
      <c r="D148" s="25" t="inlineStr">
        <is>
          <t>Functional</t>
        </is>
      </c>
      <c r="E148" s="25" t="inlineStr">
        <is>
          <t>Collateral</t>
        </is>
      </c>
      <c r="F148" s="25" t="inlineStr">
        <is>
          <t>Deploy several contracts with values at the same time from one wallet</t>
        </is>
      </c>
      <c r="G148" s="25" t="inlineStr">
        <is>
          <t>API-RACE</t>
        </is>
      </c>
      <c r="H148" s="25" t="inlineStr">
        <is>
          <t>Single</t>
        </is>
      </c>
      <c r="I148" s="25" t="inlineStr">
        <is>
          <t>All succeed and each costs exactly its own value</t>
        </is>
      </c>
      <c r="J148" s="25" t="inlineStr">
        <is>
          <t>The collateral split runs before the main transaction opens specifically to avoid a deadlock; concurrent deploys from one wallet are what would trigger it</t>
        </is>
      </c>
      <c r="K148" s="25" t="inlineStr">
        <is>
          <t>P0</t>
        </is>
      </c>
      <c r="L148" s="25" t="inlineStr">
        <is>
          <t>core/transaction_builder.go</t>
        </is>
      </c>
      <c r="M148" s="25" t="n"/>
      <c r="N148" s="25" t="inlineStr">
        <is>
          <t>master</t>
        </is>
      </c>
      <c r="O148" s="25" t="n"/>
      <c r="P148" s="26" t="inlineStr">
        <is>
          <t>OK - concurrency case. Assert per-request outcomes, not just an aggregate pass rate.</t>
        </is>
      </c>
      <c r="Q148" s="25" t="n"/>
    </row>
    <row r="149" ht="67.5" customHeight="1" s="14">
      <c r="A149" s="25" t="inlineStr">
        <is>
          <t>SC-C-13</t>
        </is>
      </c>
      <c r="B149" s="25" t="inlineStr">
        <is>
          <t>SC</t>
        </is>
      </c>
      <c r="C149" s="25" t="inlineStr">
        <is>
          <t>Code</t>
        </is>
      </c>
      <c r="D149" s="25" t="inlineStr">
        <is>
          <t>Functional</t>
        </is>
      </c>
      <c r="E149" s="25" t="inlineStr">
        <is>
          <t>Collateral</t>
        </is>
      </c>
      <c r="F149" s="25" t="inlineStr">
        <is>
          <t>Deploy across a fixed ladder of thirteen values from 0.001 to 10.375</t>
        </is>
      </c>
      <c r="G149" s="25" t="inlineStr">
        <is>
          <t>API</t>
        </is>
      </c>
      <c r="H149" s="25" t="inlineStr">
        <is>
          <t>Single</t>
        </is>
      </c>
      <c r="I149" s="25" t="inlineStr">
        <is>
          <t>Every value costs exactly itself</t>
        </is>
      </c>
      <c r="J149" s="25" t="inlineStr">
        <is>
          <t>Points sit either side of each boundary - 0.009/0.010, 0.999/1.000/1.001 - so the pattern of failures identifies which boundary is mishandled</t>
        </is>
      </c>
      <c r="K149" s="25" t="inlineStr">
        <is>
          <t>P0</t>
        </is>
      </c>
      <c r="L149" s="25" t="inlineStr">
        <is>
          <t>core/transaction_builder.go</t>
        </is>
      </c>
      <c r="M149" s="25" t="n"/>
      <c r="N149" s="25" t="inlineStr">
        <is>
          <t>master</t>
        </is>
      </c>
      <c r="O149" s="25" t="n"/>
      <c r="P149" s="26" t="inlineStr">
        <is>
          <t>The 13-value ladder, run consecutively from one wallet. Verify all of it in one run: Every value costs exactly itself; twenty-plus consecutive deploys all succeed and the total equals the sum of the values. Repeat across the 13-value ladder, then repeated once more on a re-shaped wallet, and report each assertion separately so one failure cannot hide the others. Also covers SC-C-03, SC-C-07, SC-C-19. Build the wallet this case needs before starting - never skip on shape. See 'Wallet preparation' in the Legend.</t>
        </is>
      </c>
      <c r="Q149" s="25" t="n"/>
    </row>
    <row r="150" ht="57" customHeight="1" s="14">
      <c r="A150" s="25" t="inlineStr">
        <is>
          <t>SC-C-14</t>
        </is>
      </c>
      <c r="B150" s="25" t="inlineStr">
        <is>
          <t>SC</t>
        </is>
      </c>
      <c r="C150" s="25" t="inlineStr">
        <is>
          <t>Code</t>
        </is>
      </c>
      <c r="D150" s="25" t="inlineStr">
        <is>
          <t>Functional</t>
        </is>
      </c>
      <c r="E150" s="25" t="inlineStr">
        <is>
          <t>Collateral</t>
        </is>
      </c>
      <c r="F150" s="25" t="inlineStr">
        <is>
          <t>Deploy a fractional value from a wallet holding only whole tokens</t>
        </is>
      </c>
      <c r="G150" s="25" t="inlineStr">
        <is>
          <t>API</t>
        </is>
      </c>
      <c r="H150" s="25" t="inlineStr">
        <is>
          <t>Single</t>
        </is>
      </c>
      <c r="I150" s="25" t="inlineStr">
        <is>
          <t>Costs exactly the value</t>
        </is>
      </c>
      <c r="J150" s="25" t="inlineStr">
        <is>
          <t>The shape the fix targets and the shape every older case used; the control for SC-C-15 and SC-C-16</t>
        </is>
      </c>
      <c r="K150" s="25" t="inlineStr">
        <is>
          <t>P0</t>
        </is>
      </c>
      <c r="L150" s="25" t="inlineStr">
        <is>
          <t>core/transaction_builder.go</t>
        </is>
      </c>
      <c r="M150" s="25" t="n"/>
      <c r="N150" s="25" t="inlineStr">
        <is>
          <t>master</t>
        </is>
      </c>
      <c r="O150" s="25" t="n"/>
      <c r="P150" s="26" t="inlineStr">
        <is>
          <t>OK Build the wallet this case needs before starting - never skip on shape. See 'Wallet preparation' in the Legend.</t>
        </is>
      </c>
      <c r="Q150" s="25" t="n"/>
    </row>
    <row r="151" ht="57" customHeight="1" s="14">
      <c r="A151" s="25" t="inlineStr">
        <is>
          <t>SC-C-15</t>
        </is>
      </c>
      <c r="B151" s="25" t="inlineStr">
        <is>
          <t>SC</t>
        </is>
      </c>
      <c r="C151" s="25" t="inlineStr">
        <is>
          <t>Code</t>
        </is>
      </c>
      <c r="D151" s="25" t="inlineStr">
        <is>
          <t>Functional</t>
        </is>
      </c>
      <c r="E151" s="25" t="inlineStr">
        <is>
          <t>Collateral</t>
        </is>
      </c>
      <c r="F151" s="25" t="inlineStr">
        <is>
          <t>Deploy a fractional value from a wallet holding only part tokens</t>
        </is>
      </c>
      <c r="G151" s="25" t="inlineStr">
        <is>
          <t>API</t>
        </is>
      </c>
      <c r="H151" s="25" t="inlineStr">
        <is>
          <t>Single</t>
        </is>
      </c>
      <c r="I151" s="25" t="inlineStr">
        <is>
          <t>Costs exactly the value</t>
        </is>
      </c>
      <c r="J151" s="25" t="inlineStr">
        <is>
          <t>Nothing to split - collateral must be assembled from fractions instead, a different path</t>
        </is>
      </c>
      <c r="K151" s="25" t="inlineStr">
        <is>
          <t>P0</t>
        </is>
      </c>
      <c r="L151" s="25" t="inlineStr">
        <is>
          <t>core/wallet/token_lock.go:40</t>
        </is>
      </c>
      <c r="M151" s="25" t="n"/>
      <c r="N151" s="25" t="inlineStr">
        <is>
          <t>master</t>
        </is>
      </c>
      <c r="O151" s="25" t="n"/>
      <c r="P151" s="26" t="inlineStr">
        <is>
          <t>OK Build the wallet this case needs before starting - never skip on shape. See 'Wallet preparation' in the Legend.</t>
        </is>
      </c>
      <c r="Q151" s="25" t="n"/>
    </row>
    <row r="152" ht="67.5" customHeight="1" s="14">
      <c r="A152" s="25" t="inlineStr">
        <is>
          <t>SC-C-16</t>
        </is>
      </c>
      <c r="B152" s="25" t="inlineStr">
        <is>
          <t>SC</t>
        </is>
      </c>
      <c r="C152" s="25" t="inlineStr">
        <is>
          <t>Code</t>
        </is>
      </c>
      <c r="D152" s="25" t="inlineStr">
        <is>
          <t>Functional</t>
        </is>
      </c>
      <c r="E152" s="25" t="inlineStr">
        <is>
          <t>Collateral</t>
        </is>
      </c>
      <c r="F152" s="25" t="inlineStr">
        <is>
          <t>Deploy from a wallet holding both whole and part tokens</t>
        </is>
      </c>
      <c r="G152" s="25" t="inlineStr">
        <is>
          <t>API</t>
        </is>
      </c>
      <c r="H152" s="25" t="inlineStr">
        <is>
          <t>Single</t>
        </is>
      </c>
      <c r="I152" s="25" t="inlineStr">
        <is>
          <t>Costs exactly the value</t>
        </is>
      </c>
      <c r="J152" s="25" t="inlineStr">
        <is>
          <t>Selection has a choice; a wrong pick still succeeds and only the arithmetic reveals it</t>
        </is>
      </c>
      <c r="K152" s="25" t="inlineStr">
        <is>
          <t>P0</t>
        </is>
      </c>
      <c r="L152" s="25" t="inlineStr">
        <is>
          <t>core/wallet/token_lock.go:40</t>
        </is>
      </c>
      <c r="M152" s="25" t="n"/>
      <c r="N152" s="25" t="inlineStr">
        <is>
          <t>master</t>
        </is>
      </c>
      <c r="O152" s="25" t="n"/>
      <c r="P152" s="26" t="inlineStr">
        <is>
          <t>OK Build the wallet this case needs before starting - never skip on shape. See 'Wallet preparation' in the Legend.</t>
        </is>
      </c>
      <c r="Q152" s="25" t="n"/>
    </row>
    <row r="153" ht="45.75" customHeight="1" s="14">
      <c r="A153" s="25" t="inlineStr">
        <is>
          <t>SC-C-17</t>
        </is>
      </c>
      <c r="B153" s="25" t="inlineStr">
        <is>
          <t>SC</t>
        </is>
      </c>
      <c r="C153" s="25" t="inlineStr">
        <is>
          <t>Code</t>
        </is>
      </c>
      <c r="D153" s="25" t="inlineStr">
        <is>
          <t>Functional</t>
        </is>
      </c>
      <c r="E153" s="25" t="inlineStr">
        <is>
          <t>Collateral</t>
        </is>
      </c>
      <c r="F153" s="25" t="inlineStr">
        <is>
          <t>Deploy a value far below the available denomination such as 0.007 from 1.000</t>
        </is>
      </c>
      <c r="G153" s="25" t="inlineStr">
        <is>
          <t>API</t>
        </is>
      </c>
      <c r="H153" s="25" t="inlineStr">
        <is>
          <t>Single</t>
        </is>
      </c>
      <c r="I153" s="25" t="inlineStr">
        <is>
          <t>Costs exactly 0.007</t>
        </is>
      </c>
      <c r="J153" s="25" t="inlineStr">
        <is>
          <t>Needs several split levels where 0.5 needs one; change can be lost at the third level and nowhere earlier</t>
        </is>
      </c>
      <c r="K153" s="25" t="inlineStr">
        <is>
          <t>P0</t>
        </is>
      </c>
      <c r="L153" s="25" t="inlineStr">
        <is>
          <t>core/transaction_builder.go</t>
        </is>
      </c>
      <c r="M153" s="25" t="n"/>
      <c r="N153" s="25" t="inlineStr">
        <is>
          <t>master</t>
        </is>
      </c>
      <c r="O153" s="25" t="n"/>
      <c r="P153" s="26" t="inlineStr">
        <is>
          <t>OK Build the wallet this case needs before starting - never skip on shape. See 'Wallet preparation' in the Legend.</t>
        </is>
      </c>
      <c r="Q153" s="25" t="n"/>
    </row>
    <row r="154" ht="57" customHeight="1" s="14">
      <c r="A154" s="25" t="inlineStr">
        <is>
          <t>SC-C-18</t>
        </is>
      </c>
      <c r="B154" s="25" t="inlineStr">
        <is>
          <t>SC</t>
        </is>
      </c>
      <c r="C154" s="25" t="inlineStr">
        <is>
          <t>Code</t>
        </is>
      </c>
      <c r="D154" s="25" t="inlineStr">
        <is>
          <t>Functional</t>
        </is>
      </c>
      <c r="E154" s="25" t="inlineStr">
        <is>
          <t>Collateral</t>
        </is>
      </c>
      <c r="F154" s="25" t="inlineStr">
        <is>
          <t>Deploy a value equal to the entire free balance</t>
        </is>
      </c>
      <c r="G154" s="25" t="inlineStr">
        <is>
          <t>API</t>
        </is>
      </c>
      <c r="H154" s="25" t="inlineStr">
        <is>
          <t>Single</t>
        </is>
      </c>
      <c r="I154" s="25" t="inlineStr">
        <is>
          <t>Either succeeds exactly or is rejected leaving everything unchanged</t>
        </is>
      </c>
      <c r="J154" s="25" t="inlineStr">
        <is>
          <t>No slack for a rounding error in either direction; nothing left to absorb an overcharge</t>
        </is>
      </c>
      <c r="K154" s="25" t="inlineStr">
        <is>
          <t>P1</t>
        </is>
      </c>
      <c r="L154" s="25" t="inlineStr">
        <is>
          <t>core/transaction_builder.go</t>
        </is>
      </c>
      <c r="M154" s="25" t="n"/>
      <c r="N154" s="25" t="inlineStr">
        <is>
          <t>master</t>
        </is>
      </c>
      <c r="O154" s="25" t="n"/>
      <c r="P154" s="26" t="inlineStr">
        <is>
          <t>OK - deploy the entire free balance; boundary case. Build the wallet this case needs before starting - never skip on shape. See 'Wallet preparation' in the Legend.</t>
        </is>
      </c>
      <c r="Q154" s="25" t="n"/>
    </row>
    <row r="155" ht="45.75" customHeight="1" s="14">
      <c r="A155" s="25" t="inlineStr">
        <is>
          <t>SC-C-23</t>
        </is>
      </c>
      <c r="B155" s="25" t="inlineStr">
        <is>
          <t>SC</t>
        </is>
      </c>
      <c r="C155" s="25" t="inlineStr">
        <is>
          <t>Code</t>
        </is>
      </c>
      <c r="D155" s="25" t="inlineStr">
        <is>
          <t>Functional</t>
        </is>
      </c>
      <c r="E155" s="25" t="inlineStr">
        <is>
          <t>Collateral</t>
        </is>
      </c>
      <c r="F155" s="25" t="inlineStr">
        <is>
          <t>A parts-only wallet executes several contracts in succession</t>
        </is>
      </c>
      <c r="G155" s="25" t="inlineStr">
        <is>
          <t>API</t>
        </is>
      </c>
      <c r="H155" s="25" t="inlineStr">
        <is>
          <t>Single</t>
        </is>
      </c>
      <c r="I155" s="25" t="inlineStr">
        <is>
          <t>All succeed, nothing is charged, counter consistent</t>
        </is>
      </c>
      <c r="J155" s="25" t="inlineStr">
        <is>
          <t>A later execute failing while an earlier one passed means executing degrades the wallet</t>
        </is>
      </c>
      <c r="K155" s="25" t="inlineStr">
        <is>
          <t>P0</t>
        </is>
      </c>
      <c r="L155" s="25" t="inlineStr">
        <is>
          <t>core/transaction_builder.go</t>
        </is>
      </c>
      <c r="M155" s="25" t="n"/>
      <c r="N155" s="25" t="inlineStr">
        <is>
          <t>master</t>
        </is>
      </c>
      <c r="O155" s="25" t="n"/>
      <c r="P155" s="26" t="inlineStr">
        <is>
          <t>OK Build the wallet this case needs before starting - never skip on shape. See 'Wallet preparation' in the Legend.</t>
        </is>
      </c>
      <c r="Q155" s="25" t="n"/>
    </row>
    <row r="156" ht="78.75" customHeight="1" s="14">
      <c r="A156" s="25" t="inlineStr">
        <is>
          <t>SC-C-24</t>
        </is>
      </c>
      <c r="B156" s="25" t="inlineStr">
        <is>
          <t>SC</t>
        </is>
      </c>
      <c r="C156" s="25" t="inlineStr">
        <is>
          <t>Code</t>
        </is>
      </c>
      <c r="D156" s="25" t="inlineStr">
        <is>
          <t>Functional</t>
        </is>
      </c>
      <c r="E156" s="25" t="inlineStr">
        <is>
          <t>Collateral</t>
        </is>
      </c>
      <c r="F156" s="25" t="inlineStr">
        <is>
          <t>Execute from a wallet holding only minimum-unit tokens</t>
        </is>
      </c>
      <c r="G156" s="25" t="inlineStr">
        <is>
          <t>API</t>
        </is>
      </c>
      <c r="H156" s="25" t="inlineStr">
        <is>
          <t>Single</t>
        </is>
      </c>
      <c r="I156" s="25" t="inlineStr">
        <is>
          <t>Succeeds</t>
        </is>
      </c>
      <c r="J156" s="25" t="inlineStr">
        <is>
          <t>The extreme parts case - reveals any floor on what selection will assemble</t>
        </is>
      </c>
      <c r="K156" s="25" t="inlineStr">
        <is>
          <t>P1</t>
        </is>
      </c>
      <c r="L156" s="25" t="inlineStr">
        <is>
          <t>core/wallet/token_lock.go:40</t>
        </is>
      </c>
      <c r="M156" s="25" t="n"/>
      <c r="N156" s="25" t="inlineStr">
        <is>
          <t>master</t>
        </is>
      </c>
      <c r="O156" s="25" t="n"/>
      <c r="P156" s="26" t="inlineStr">
        <is>
          <t>OK Build the wallet this case needs before starting - never skip on shape. See 'Wallet preparation' in the Legend.</t>
        </is>
      </c>
      <c r="Q156" s="25" t="n"/>
    </row>
    <row r="157" ht="67.5" customHeight="1" s="14">
      <c r="A157" s="25" t="inlineStr">
        <is>
          <t>SC-C-25</t>
        </is>
      </c>
      <c r="B157" s="25" t="inlineStr">
        <is>
          <t>SC</t>
        </is>
      </c>
      <c r="C157" s="25" t="inlineStr">
        <is>
          <t>Code</t>
        </is>
      </c>
      <c r="D157" s="25" t="inlineStr">
        <is>
          <t>Functional</t>
        </is>
      </c>
      <c r="E157" s="25" t="inlineStr">
        <is>
          <t>Collateral</t>
        </is>
      </c>
      <c r="F157" s="25" t="inlineStr">
        <is>
          <t>A parts-only wallet deploys then executes its own contract</t>
        </is>
      </c>
      <c r="G157" s="25" t="inlineStr">
        <is>
          <t>API</t>
        </is>
      </c>
      <c r="H157" s="25" t="inlineStr">
        <is>
          <t>Single</t>
        </is>
      </c>
      <c r="I157" s="25" t="inlineStr">
        <is>
          <t>Deploy costs its value and the execute then succeeds</t>
        </is>
      </c>
      <c r="J157" s="25" t="inlineStr">
        <is>
          <t>The deploy changes the wallet shape the later execute has to work from</t>
        </is>
      </c>
      <c r="K157" s="25" t="inlineStr">
        <is>
          <t>P0</t>
        </is>
      </c>
      <c r="L157" s="25" t="inlineStr">
        <is>
          <t>core/transaction_builder.go</t>
        </is>
      </c>
      <c r="M157" s="25" t="n"/>
      <c r="N157" s="25" t="inlineStr">
        <is>
          <t>master</t>
        </is>
      </c>
      <c r="O157" s="25" t="n"/>
      <c r="P157" s="26" t="inlineStr">
        <is>
          <t>OK Build the wallet this case needs before starting - never skip on shape. See 'Wallet preparation' in the Legend.</t>
        </is>
      </c>
      <c r="Q157" s="25" t="n"/>
    </row>
    <row r="158" ht="15" customHeight="1" s="14">
      <c r="A158" s="25" t="inlineStr">
        <is>
          <t>SC-C-26</t>
        </is>
      </c>
      <c r="B158" s="25" t="inlineStr">
        <is>
          <t>SC</t>
        </is>
      </c>
      <c r="C158" s="25" t="inlineStr">
        <is>
          <t>Code</t>
        </is>
      </c>
      <c r="D158" s="25" t="inlineStr">
        <is>
          <t>Functional</t>
        </is>
      </c>
      <c r="E158" s="25" t="inlineStr">
        <is>
          <t>Collateral</t>
        </is>
      </c>
      <c r="F158" s="25" t="inlineStr">
        <is>
          <t>Many nodes deploying valued contracts at the same moment</t>
        </is>
      </c>
      <c r="G158" s="25" t="inlineStr">
        <is>
          <t>API-RACE</t>
        </is>
      </c>
      <c r="H158" s="25" t="inlineStr">
        <is>
          <t>Multi</t>
        </is>
      </c>
      <c r="I158" s="25" t="inlineStr">
        <is>
          <t>All succeed and no quorum counter drifts</t>
        </is>
      </c>
      <c r="J158" s="25" t="inlineStr">
        <is>
          <t>A pledge shortage here is a capacity result not a defect; a drifting quorum counter is a defect</t>
        </is>
      </c>
      <c r="K158" s="25" t="inlineStr">
        <is>
          <t>P0</t>
        </is>
      </c>
      <c r="L158" s="25" t="inlineStr">
        <is>
          <t>core/wallet/pledge.go:222</t>
        </is>
      </c>
      <c r="M158" s="25" t="n"/>
      <c r="N158" s="25" t="inlineStr">
        <is>
          <t>master</t>
        </is>
      </c>
      <c r="O158" s="25" t="n"/>
      <c r="P158" s="26" t="inlineStr">
        <is>
          <t>OK - concurrency case. Assert per-request outcomes, not just an aggregate pass rate.</t>
        </is>
      </c>
      <c r="Q158" s="25" t="n"/>
    </row>
    <row r="159" ht="24" customHeight="1" s="14">
      <c r="A159" s="25" t="inlineStr">
        <is>
          <t>SC-C-27</t>
        </is>
      </c>
      <c r="B159" s="25" t="inlineStr">
        <is>
          <t>SC</t>
        </is>
      </c>
      <c r="C159" s="25" t="inlineStr">
        <is>
          <t>Code</t>
        </is>
      </c>
      <c r="D159" s="25" t="inlineStr">
        <is>
          <t>Functional</t>
        </is>
      </c>
      <c r="E159" s="25" t="inlineStr">
        <is>
          <t>Collateral</t>
        </is>
      </c>
      <c r="F159" s="25" t="inlineStr">
        <is>
          <t>Force a deploy to fail after its collateral split has already committed</t>
        </is>
      </c>
      <c r="G159" s="25" t="inlineStr">
        <is>
          <t>API</t>
        </is>
      </c>
      <c r="H159" s="25" t="inlineStr">
        <is>
          <t>Single</t>
        </is>
      </c>
      <c r="I159" s="25" t="inlineStr">
        <is>
          <t>Rejected, with nothing left locked and the balance restored</t>
        </is>
      </c>
      <c r="J159" s="25" t="inlineStr">
        <is>
          <t>The split commits its own genesis on a separate connection before the outer transaction opens, so an outer failure does not roll it back; SC-C-06 is rejected before the lock and never reaches this</t>
        </is>
      </c>
      <c r="K159" s="25" t="inlineStr">
        <is>
          <t>P0</t>
        </is>
      </c>
      <c r="L159" s="25" t="inlineStr">
        <is>
          <t>core/transaction_builder.go</t>
        </is>
      </c>
      <c r="M159" s="25" t="n"/>
      <c r="N159" s="25" t="inlineStr">
        <is>
          <t>master</t>
        </is>
      </c>
      <c r="O159" s="25" t="n"/>
      <c r="P159" s="26" t="inlineStr">
        <is>
          <t>One wallet, three phases: a deploy that succeeds, a deploy that is rejected, then the same wallet re-read after a wait. Verify all of it in one run: Success commits exactly the value; rejection leaves nothing locked and nothing committed; if anything was stranded, whether it is ever released. The lane already runs these in this order. Repeat across two rejection causes, not one: out-pledging the quorum, and a value above the wallet's balance, and report each assertion separately so one failure cannot hide the others. Also covers SC-C-31, SC-C-33. Build the wallet this case needs before starting - never skip on shape. See 'Wallet preparation' in the Legend.</t>
        </is>
      </c>
      <c r="Q159" s="25" t="n"/>
    </row>
    <row r="160" ht="34.5" customHeight="1" s="14">
      <c r="A160" s="25" t="inlineStr">
        <is>
          <t>SC-C-28</t>
        </is>
      </c>
      <c r="B160" s="25" t="inlineStr">
        <is>
          <t>SC</t>
        </is>
      </c>
      <c r="C160" s="25" t="inlineStr">
        <is>
          <t>Code</t>
        </is>
      </c>
      <c r="D160" s="25" t="inlineStr">
        <is>
          <t>Functional</t>
        </is>
      </c>
      <c r="E160" s="25" t="inlineStr">
        <is>
          <t>Collateral</t>
        </is>
      </c>
      <c r="F160" s="25" t="inlineStr">
        <is>
          <t>Check a split that creates a denomination the wallet has never held</t>
        </is>
      </c>
      <c r="G160" s="25" t="inlineStr">
        <is>
          <t>API</t>
        </is>
      </c>
      <c r="H160" s="25" t="inlineStr">
        <is>
          <t>Single</t>
        </is>
      </c>
      <c r="I160" s="25" t="inlineStr">
        <is>
          <t>A counter row exists for the new denomination and matches reality</t>
        </is>
      </c>
      <c r="J160" s="25" t="inlineStr">
        <is>
          <t>The burn decrement is a bare UPDATE - with no matching row it affects nothing and returns no error, so a later burn of this change token would silently do nothing</t>
        </is>
      </c>
      <c r="K160" s="25" t="inlineStr">
        <is>
          <t>P0</t>
        </is>
      </c>
      <c r="L160" s="25" t="inlineStr">
        <is>
          <t>core/wallet/token_chain.go</t>
        </is>
      </c>
      <c r="M160" s="25" t="n"/>
      <c r="N160" s="25" t="inlineStr">
        <is>
          <t>master</t>
        </is>
      </c>
      <c r="O160" s="25" t="n"/>
      <c r="P160" s="26" t="inlineStr">
        <is>
          <t>OK</t>
        </is>
      </c>
      <c r="Q160" s="25" t="n"/>
    </row>
    <row r="161" ht="15" customHeight="1" s="14">
      <c r="A161" s="25" t="inlineStr">
        <is>
          <t>SC-C-30</t>
        </is>
      </c>
      <c r="B161" s="25" t="inlineStr">
        <is>
          <t>SC</t>
        </is>
      </c>
      <c r="C161" s="25" t="inlineStr">
        <is>
          <t>Code</t>
        </is>
      </c>
      <c r="D161" s="25" t="inlineStr">
        <is>
          <t>Functional</t>
        </is>
      </c>
      <c r="E161" s="25" t="inlineStr">
        <is>
          <t>Collateral</t>
        </is>
      </c>
      <c r="F161" s="25" t="inlineStr">
        <is>
          <t>Execute a contract that was deployed at exactly one whole token</t>
        </is>
      </c>
      <c r="G161" s="25" t="inlineStr">
        <is>
          <t>API</t>
        </is>
      </c>
      <c r="H161" s="25" t="inlineStr">
        <is>
          <t>Single</t>
        </is>
      </c>
      <c r="I161" s="25" t="inlineStr">
        <is>
          <t>Execute succeeds and the chain advances</t>
        </is>
      </c>
      <c r="J161" s="25" t="inlineStr">
        <is>
          <t>No split occurs at a whole denomination, so the genesis carries an empty previous-transaction link; deploying correctly does not prove the contract is usable</t>
        </is>
      </c>
      <c r="K161" s="25" t="inlineStr">
        <is>
          <t>P0</t>
        </is>
      </c>
      <c r="L161" s="25" t="inlineStr">
        <is>
          <t>core/transaction_builder.go</t>
        </is>
      </c>
      <c r="M161" s="25" t="n"/>
      <c r="N161" s="25" t="inlineStr">
        <is>
          <t>master</t>
        </is>
      </c>
      <c r="O161" s="25" t="n"/>
      <c r="P161" s="26" t="inlineStr">
        <is>
          <t>OK</t>
        </is>
      </c>
      <c r="Q161" s="25" t="n"/>
    </row>
    <row r="162" ht="24" customHeight="1" s="14">
      <c r="A162" s="25" t="inlineStr">
        <is>
          <t>SC-C-34</t>
        </is>
      </c>
      <c r="B162" s="25" t="inlineStr">
        <is>
          <t>SC</t>
        </is>
      </c>
      <c r="C162" s="25" t="inlineStr">
        <is>
          <t>Code</t>
        </is>
      </c>
      <c r="D162" s="25" t="inlineStr">
        <is>
          <t>Functional</t>
        </is>
      </c>
      <c r="E162" s="25" t="inlineStr">
        <is>
          <t>Collateral</t>
        </is>
      </c>
      <c r="F162" s="25" t="inlineStr">
        <is>
          <t>Send 1 contract, then 2 inexact, then 2 binary-exact, and find where it breaks</t>
        </is>
      </c>
      <c r="G162" s="25" t="inlineStr">
        <is>
          <t>API</t>
        </is>
      </c>
      <c r="H162" s="25" t="inlineStr">
        <is>
          <t>Single</t>
        </is>
      </c>
      <c r="I162" s="25" t="inlineStr">
        <is>
          <t>All three accepted</t>
        </is>
      </c>
      <c r="J162" s="25" t="inlineStr">
        <is>
          <t>The ladder behind SC-C-32. N=1 rules out the guard testing individual values; holding N at 2 across exact and inexact rules out the count. 0.1+0.2 is the canonical float64 case and worth more in a PR comment than any arbitrary triple</t>
        </is>
      </c>
      <c r="K162" s="25" t="inlineStr">
        <is>
          <t>P0</t>
        </is>
      </c>
      <c r="L162" s="25" t="inlineStr">
        <is>
          <t>core/transaction_builder.go:433</t>
        </is>
      </c>
      <c r="M162" s="25" t="n"/>
      <c r="N162" s="25" t="inlineStr">
        <is>
          <t>master</t>
        </is>
      </c>
      <c r="O162" s="25" t="n"/>
      <c r="P162" s="26" t="inlineStr">
        <is>
          <t>Multi-contract in one request: N=1, N=2 binary-exact, N=2 inexact, N=3. Verify all of it in one run: Where it starts failing and why - a per-value guard, the contract count, or accumulation on the summed amount. Repeat across N=1, N=2 exact, N=2 inexact, N=3 exact, N=3 inexact, and report each assertion separately so one failure cannot hide the others. Also covers SC-C-29, SC-C-32.</t>
        </is>
      </c>
      <c r="Q162" s="25" t="n"/>
    </row>
    <row r="163" ht="24" customHeight="1" s="14">
      <c r="A163" s="25" t="inlineStr">
        <is>
          <t>SC-C-35</t>
        </is>
      </c>
      <c r="B163" s="25" t="inlineStr">
        <is>
          <t>SC</t>
        </is>
      </c>
      <c r="C163" s="25" t="inlineStr">
        <is>
          <t>Code</t>
        </is>
      </c>
      <c r="D163" s="25" t="inlineStr">
        <is>
          <t>Functional</t>
        </is>
      </c>
      <c r="E163" s="25" t="inlineStr">
        <is>
          <t>Collateral</t>
        </is>
      </c>
      <c r="F163" s="25" t="inlineStr">
        <is>
          <t>Deploy a fractional-value contract, then transfer the change token it produced to a node on a different quorum</t>
        </is>
      </c>
      <c r="G163" s="25" t="inlineStr">
        <is>
          <t>MULTI-NODE</t>
        </is>
      </c>
      <c r="H163" s="25" t="inlineStr">
        <is>
          <t>Multi</t>
        </is>
      </c>
      <c r="I163" s="25" t="inlineStr">
        <is>
          <t>Transfer succeeds - the receiving quorum validates the change token's chain</t>
        </is>
      </c>
      <c r="J163" s="25" t="inlineStr">
        <is>
          <t>No TokenChainIntigrityCheck error; change token row and chain row exist on the receiver; sender token_denom decremented</t>
        </is>
      </c>
      <c r="K163" s="25" t="inlineStr">
        <is>
          <t>P0</t>
        </is>
      </c>
      <c r="L163" s="25" t="inlineStr">
        <is>
          <t>core/transaction_builder.go SC collateral pre-pass - PublishTransaction is skipped when networkMode == Localnet</t>
        </is>
      </c>
      <c r="M163" s="25" t="n"/>
      <c r="N163" s="25" t="n"/>
      <c r="O163" s="25" t="n"/>
      <c r="P163" s="26" t="inlineStr">
        <is>
          <t>OK - change token crossing to a node on a different quorum. Good: it tests whether the receiving quorum can validate a freshly split token's chain.</t>
        </is>
      </c>
      <c r="Q163" s="25" t="n"/>
    </row>
    <row r="164" ht="15" customHeight="1" s="14">
      <c r="A164" s="25" t="inlineStr">
        <is>
          <t>SC-C-36</t>
        </is>
      </c>
      <c r="B164" s="25" t="inlineStr">
        <is>
          <t>SC</t>
        </is>
      </c>
      <c r="C164" s="25" t="inlineStr">
        <is>
          <t>Code</t>
        </is>
      </c>
      <c r="D164" s="25" t="inlineStr">
        <is>
          <t>Functional</t>
        </is>
      </c>
      <c r="E164" s="25" t="inlineStr">
        <is>
          <t>Collateral</t>
        </is>
      </c>
      <c r="F164" s="25" t="inlineStr">
        <is>
          <t>Deploy at exactly 1.0 and above from a wallet that has already done fractional deploys</t>
        </is>
      </c>
      <c r="G164" s="25" t="inlineStr">
        <is>
          <t>API</t>
        </is>
      </c>
      <c r="H164" s="25" t="inlineStr">
        <is>
          <t>Single</t>
        </is>
      </c>
      <c r="I164" s="25" t="inlineStr">
        <is>
          <t>Succeeds</t>
        </is>
      </c>
      <c r="J164" s="25" t="n"/>
      <c r="K164" s="25" t="inlineStr">
        <is>
          <t>P0</t>
        </is>
      </c>
      <c r="L164" s="25" t="inlineStr">
        <is>
          <t>core/consensus/checks.go TokenChainIntigrityCheck</t>
        </is>
      </c>
      <c r="M164" s="25" t="n"/>
      <c r="N164" s="25" t="n"/>
      <c r="O164" s="25" t="n"/>
      <c r="P164" s="26" t="inlineStr">
        <is>
          <t>Observed failing with a '(committed) chain mismatch' while sub-1 values on the same wallet succeeded. Isolate whether a prior split is the trigger by running the same values on a fresh wallet. Build the wallet this case needs before starting - never skip on shape. See 'Wallet preparation' in the Legend.</t>
        </is>
      </c>
      <c r="Q164" s="25" t="n"/>
    </row>
    <row r="165" ht="15" customHeight="1" s="14">
      <c r="A165" s="25" t="inlineStr">
        <is>
          <t>SC-Q-06</t>
        </is>
      </c>
      <c r="B165" s="25" t="inlineStr">
        <is>
          <t>SC</t>
        </is>
      </c>
      <c r="C165" s="25" t="inlineStr">
        <is>
          <t>Code</t>
        </is>
      </c>
      <c r="D165" s="25" t="inlineStr">
        <is>
          <t>Functional</t>
        </is>
      </c>
      <c r="E165" s="25" t="inlineStr">
        <is>
          <t>Quorum Capacity</t>
        </is>
      </c>
      <c r="F165" s="25" t="inlineStr">
        <is>
          <t>Check the quorum pledged the correct value for a contract deploy</t>
        </is>
      </c>
      <c r="G165" s="25" t="inlineStr">
        <is>
          <t>API</t>
        </is>
      </c>
      <c r="H165" s="25" t="inlineStr">
        <is>
          <t>Single</t>
        </is>
      </c>
      <c r="I165" s="25" t="inlineStr">
        <is>
          <t>Pledged value equals the contract value</t>
        </is>
      </c>
      <c r="J165" s="25" t="inlineStr">
        <is>
          <t>Quorum pledge tables updated; pledge released after the transaction settles</t>
        </is>
      </c>
      <c r="K165" s="25" t="inlineStr">
        <is>
          <t>P0</t>
        </is>
      </c>
      <c r="L165" s="25" t="inlineStr">
        <is>
          <t>core/consensus/checks.go:539</t>
        </is>
      </c>
      <c r="M165" s="25" t="n"/>
      <c r="N165" s="25" t="inlineStr">
        <is>
          <t>master</t>
        </is>
      </c>
      <c r="O165" s="25" t="n"/>
      <c r="P165" s="26" t="inlineStr">
        <is>
          <t>ONE valued deploy, read entirely from the quorum's side. Verify all of it in one run: Pledged value equals the contract value; the quorum's denomination counter matches its real free tokens; the newly pledged rows cover the value; an unpledge row is queued naming the transaction. Repeat across three deploys at different values: 0.001, a random fraction, and 1.0 - so the quorum side is proven at more than one value, and report each assertion separately so one failure cannot hide the others. Also covers SC-Q-07, SC-Q-08, SC-Q-09. Build the wallet this case needs before starting - never skip on shape. See 'Wallet preparation' in the Legend.</t>
        </is>
      </c>
      <c r="Q165" s="25" t="n"/>
    </row>
    <row r="166" ht="24" customHeight="1" s="14">
      <c r="A166" s="25" t="inlineStr">
        <is>
          <t>SC-Q-10</t>
        </is>
      </c>
      <c r="B166" s="25" t="inlineStr">
        <is>
          <t>SC</t>
        </is>
      </c>
      <c r="C166" s="25" t="inlineStr">
        <is>
          <t>Code</t>
        </is>
      </c>
      <c r="D166" s="25" t="inlineStr">
        <is>
          <t>Functional</t>
        </is>
      </c>
      <c r="E166" s="25" t="inlineStr">
        <is>
          <t>Quorum Capacity</t>
        </is>
      </c>
      <c r="F166" s="25" t="inlineStr">
        <is>
          <t>Route one deploy to each quorum in turn</t>
        </is>
      </c>
      <c r="G166" s="25" t="inlineStr">
        <is>
          <t>API</t>
        </is>
      </c>
      <c r="H166" s="25" t="inlineStr">
        <is>
          <t>Multi</t>
        </is>
      </c>
      <c r="I166" s="25" t="inlineStr">
        <is>
          <t>Every quorum pledges for its own deploy and none drifts</t>
        </is>
      </c>
      <c r="J166" s="25" t="inlineStr">
        <is>
          <t>Quorum state is per-quorum; a bug affecting only one is invisible when every test uses the same machine</t>
        </is>
      </c>
      <c r="K166" s="25" t="inlineStr">
        <is>
          <t>P0</t>
        </is>
      </c>
      <c r="L166" s="25" t="inlineStr">
        <is>
          <t>core/wallet/pledge.go:222</t>
        </is>
      </c>
      <c r="M166" s="25" t="n"/>
      <c r="N166" s="25" t="inlineStr">
        <is>
          <t>master</t>
        </is>
      </c>
      <c r="O166" s="25" t="n"/>
      <c r="P166" s="26" t="inlineStr">
        <is>
          <t>CONSTRAINT - 'route one deploy to each quorum in turn' needs one quorum registered per sender; otherwise the unordered SELECT decides. Confirmed against core: one transaction uses exactly ONE quorum. transactionInfo.Quorums is built as a single-element slice from quorumAddresses[0] (core/transaction.go:289-294) and so is the signature list (core/transaction.go:376-379), with QuorumRequired = MinQuorumRequired = MinConsensusRequired = 1 (core/quorum_initiator.go:17-19). The model holds a list and validation loops over it, but nothing ever fills more than one. This row is therefore only meaningful as different SENDERS using different quorums - which is worth testing - and is untestable if read as several quorums signing one transaction.</t>
        </is>
      </c>
      <c r="Q166" s="25" t="n"/>
    </row>
    <row r="167" ht="34.5" customHeight="1" s="14">
      <c r="A167" s="25" t="inlineStr">
        <is>
          <t>SC-Q-11</t>
        </is>
      </c>
      <c r="B167" s="25" t="inlineStr">
        <is>
          <t>SC</t>
        </is>
      </c>
      <c r="C167" s="25" t="inlineStr">
        <is>
          <t>Code</t>
        </is>
      </c>
      <c r="D167" s="25" t="inlineStr">
        <is>
          <t>Functional</t>
        </is>
      </c>
      <c r="E167" s="25" t="inlineStr">
        <is>
          <t>Quorum Capacity</t>
        </is>
      </c>
      <c r="F167" s="25" t="inlineStr">
        <is>
          <t>Deploy from three senders at once through one quorum</t>
        </is>
      </c>
      <c r="G167" s="25" t="inlineStr">
        <is>
          <t>API-RACE</t>
        </is>
      </c>
      <c r="H167" s="25" t="inlineStr">
        <is>
          <t>Single</t>
        </is>
      </c>
      <c r="I167" s="25" t="inlineStr">
        <is>
          <t>All succeed and the quorum counter stays consistent</t>
        </is>
      </c>
      <c r="J167" s="25" t="inlineStr">
        <is>
          <t>The shared quorum is the one piece of state every lane touches at once</t>
        </is>
      </c>
      <c r="K167" s="25" t="inlineStr">
        <is>
          <t>P0</t>
        </is>
      </c>
      <c r="L167" s="25" t="inlineStr">
        <is>
          <t>core/wallet/pledge.go:222</t>
        </is>
      </c>
      <c r="M167" s="25" t="n"/>
      <c r="N167" s="25" t="inlineStr">
        <is>
          <t>master</t>
        </is>
      </c>
      <c r="O167" s="25" t="n"/>
      <c r="P167" s="26" t="inlineStr">
        <is>
          <t>OK - concurrency case. Assert per-request outcomes, not just an aggregate pass rate.</t>
        </is>
      </c>
      <c r="Q167" s="25" t="n"/>
    </row>
    <row r="168" ht="45.75" customHeight="1" s="14">
      <c r="A168" s="25" t="inlineStr">
        <is>
          <t>SC-IN-01</t>
        </is>
      </c>
      <c r="B168" s="25" t="inlineStr">
        <is>
          <t>SC</t>
        </is>
      </c>
      <c r="C168" s="25" t="inlineStr">
        <is>
          <t>Code</t>
        </is>
      </c>
      <c r="D168" s="25" t="inlineStr">
        <is>
          <t>Functional</t>
        </is>
      </c>
      <c r="E168" s="25" t="inlineStr">
        <is>
          <t>Integrity</t>
        </is>
      </c>
      <c r="F168" s="25" t="inlineStr">
        <is>
          <t>Check every deployed contract is listed and has a chain</t>
        </is>
      </c>
      <c r="G168" s="25" t="inlineStr">
        <is>
          <t>API</t>
        </is>
      </c>
      <c r="H168" s="25" t="inlineStr">
        <is>
          <t>Single</t>
        </is>
      </c>
      <c r="I168" s="25" t="inlineStr">
        <is>
          <t>All present</t>
        </is>
      </c>
      <c r="J168" s="25" t="inlineStr">
        <is>
          <t>A deploy that returned success but left no chain is a silent failure</t>
        </is>
      </c>
      <c r="K168" s="25" t="inlineStr">
        <is>
          <t>P0</t>
        </is>
      </c>
      <c r="L168" s="25" t="n"/>
      <c r="M168" s="25" t="n"/>
      <c r="N168" s="25" t="n"/>
      <c r="O168" s="25" t="n"/>
      <c r="P168" s="26" t="inlineStr">
        <is>
          <t>One sweep of deployed contracts. Verify all of it in one run: Every contract is listed, has a chain, and the chain matches across subscribed nodes. Repeat across one sweep after each cycle, and report each assertion separately so one failure cannot hide the others. Also covers SC-IN-02.</t>
        </is>
      </c>
      <c r="Q168" s="25" t="n"/>
    </row>
    <row r="169" ht="67.5" customHeight="1" s="14">
      <c r="A169" s="25" t="inlineStr">
        <is>
          <t>SC-IN-03</t>
        </is>
      </c>
      <c r="B169" s="25" t="inlineStr">
        <is>
          <t>SC</t>
        </is>
      </c>
      <c r="C169" s="25" t="inlineStr">
        <is>
          <t>Code</t>
        </is>
      </c>
      <c r="D169" s="25" t="inlineStr">
        <is>
          <t>Functional</t>
        </is>
      </c>
      <c r="E169" s="25" t="inlineStr">
        <is>
          <t>Integrity</t>
        </is>
      </c>
      <c r="F169" s="25" t="inlineStr">
        <is>
          <t>Reconcile committed collateral against the contracts deployed</t>
        </is>
      </c>
      <c r="G169" s="25" t="inlineStr">
        <is>
          <t>API</t>
        </is>
      </c>
      <c r="H169" s="25" t="inlineStr">
        <is>
          <t>N/A</t>
        </is>
      </c>
      <c r="I169" s="25" t="inlineStr">
        <is>
          <t>Committed total equals the sum of the deploy values</t>
        </is>
      </c>
      <c r="J169" s="25" t="inlineStr">
        <is>
          <t>Catches collateral taken but not attributed to any contract</t>
        </is>
      </c>
      <c r="K169" s="25" t="inlineStr">
        <is>
          <t>P0</t>
        </is>
      </c>
      <c r="L169" s="25" t="inlineStr">
        <is>
          <t>core/consensus/consensus.go:31</t>
        </is>
      </c>
      <c r="M169" s="25" t="n"/>
      <c r="N169" s="25" t="n"/>
      <c r="O169" s="25" t="n"/>
      <c r="P169" s="26" t="inlineStr">
        <is>
          <t>REWRITE - 'committed equals the sum of deploys' only holds if no deploy was ever rejected after its split. State the sinks explicitly.</t>
        </is>
      </c>
      <c r="Q169" s="25" t="n"/>
    </row>
    <row r="170" ht="15" customHeight="1" s="14">
      <c r="A170" s="25" t="inlineStr">
        <is>
          <t>SC-DB-01</t>
        </is>
      </c>
      <c r="B170" s="25" t="inlineStr">
        <is>
          <t>SC</t>
        </is>
      </c>
      <c r="C170" s="25" t="inlineStr">
        <is>
          <t>Code</t>
        </is>
      </c>
      <c r="D170" s="25" t="inlineStr">
        <is>
          <t>Functional</t>
        </is>
      </c>
      <c r="E170" s="25" t="inlineStr">
        <is>
          <t>DB Failure</t>
        </is>
      </c>
      <c r="F170" s="25" t="inlineStr">
        <is>
          <t>Delete a contract row then execute it</t>
        </is>
      </c>
      <c r="G170" s="25" t="inlineStr">
        <is>
          <t>DB-SEED</t>
        </is>
      </c>
      <c r="H170" s="25" t="inlineStr">
        <is>
          <t>Single</t>
        </is>
      </c>
      <c r="I170" s="25" t="inlineStr">
        <is>
          <t>Rejected</t>
        </is>
      </c>
      <c r="J170" s="25" t="inlineStr">
        <is>
          <t>Nothing executed; chain unchanged</t>
        </is>
      </c>
      <c r="K170" s="25" t="inlineStr">
        <is>
          <t>P0</t>
        </is>
      </c>
      <c r="L170" s="25" t="n"/>
      <c r="M170" s="25" t="n"/>
      <c r="N170" s="25" t="n"/>
      <c r="O170" s="25" t="n"/>
      <c r="P170" s="26" t="inlineStr">
        <is>
          <t>IN SCOPE</t>
        </is>
      </c>
      <c r="Q170" s="25" t="n"/>
    </row>
    <row r="171" ht="24" customHeight="1" s="14">
      <c r="A171" s="25" t="inlineStr">
        <is>
          <t>SC-DB-02</t>
        </is>
      </c>
      <c r="B171" s="25" t="inlineStr">
        <is>
          <t>SC</t>
        </is>
      </c>
      <c r="C171" s="25" t="inlineStr">
        <is>
          <t>Code</t>
        </is>
      </c>
      <c r="D171" s="25" t="inlineStr">
        <is>
          <t>Functional</t>
        </is>
      </c>
      <c r="E171" s="25" t="inlineStr">
        <is>
          <t>DB Failure</t>
        </is>
      </c>
      <c r="F171" s="25" t="inlineStr">
        <is>
          <t>Corrupt a stored callback URL then execute</t>
        </is>
      </c>
      <c r="G171" s="25" t="inlineStr">
        <is>
          <t>DB-SEED</t>
        </is>
      </c>
      <c r="H171" s="25" t="inlineStr">
        <is>
          <t>Single</t>
        </is>
      </c>
      <c r="I171" s="25" t="inlineStr">
        <is>
          <t>Record the behaviour</t>
        </is>
      </c>
      <c r="J171" s="25" t="inlineStr">
        <is>
          <t>Execute should still succeed even when the callback cannot be delivered</t>
        </is>
      </c>
      <c r="K171" s="25" t="inlineStr">
        <is>
          <t>P1</t>
        </is>
      </c>
      <c r="L171" s="25" t="n"/>
      <c r="M171" s="25" t="n"/>
      <c r="N171" s="25" t="n"/>
      <c r="O171" s="25" t="n"/>
      <c r="P171" s="26" t="inlineStr">
        <is>
          <t>IN SCOPE (record-only)</t>
        </is>
      </c>
      <c r="Q171" s="25" t="n"/>
    </row>
    <row r="172" ht="24" customHeight="1" s="14">
      <c r="A172" s="25" t="inlineStr">
        <is>
          <t>SC-DB-03</t>
        </is>
      </c>
      <c r="B172" s="25" t="inlineStr">
        <is>
          <t>SC</t>
        </is>
      </c>
      <c r="C172" s="25" t="inlineStr">
        <is>
          <t>Code</t>
        </is>
      </c>
      <c r="D172" s="25" t="inlineStr">
        <is>
          <t>Functional</t>
        </is>
      </c>
      <c r="E172" s="25" t="inlineStr">
        <is>
          <t>DB Failure</t>
        </is>
      </c>
      <c r="F172" s="25" t="inlineStr">
        <is>
          <t>Delete a denomination counter row then burn a token of that denomination</t>
        </is>
      </c>
      <c r="G172" s="25" t="inlineStr">
        <is>
          <t>DB-SEED</t>
        </is>
      </c>
      <c r="H172" s="25" t="inlineStr">
        <is>
          <t>Single</t>
        </is>
      </c>
      <c r="I172" s="25" t="inlineStr">
        <is>
          <t>The row is recreated and matches reality, or the mint is rejected</t>
        </is>
      </c>
      <c r="J172" s="25" t="inlineStr">
        <is>
          <t>DELIBERATE CORRUPTION - records and restores the row. The bare UPDATE has no row to hit, so the counter would be permanently wrong with no error raised</t>
        </is>
      </c>
      <c r="K172" s="25" t="inlineStr">
        <is>
          <t>P0</t>
        </is>
      </c>
      <c r="L172" s="25" t="inlineStr">
        <is>
          <t>core/wallet/token_chain.go; core/wallet/token_chain.go UpdateTokenInfo - UPDATE (not upsert) silently no-ops when no token_denom row exists</t>
        </is>
      </c>
      <c r="M172" s="25" t="n"/>
      <c r="N172" s="25" t="inlineStr">
        <is>
          <t>master</t>
        </is>
      </c>
      <c r="O172" s="25" t="n"/>
      <c r="P172" s="26" t="inlineStr">
        <is>
          <t>IN SCOPE - deliberate corruption with restore. Known to have raised an exception and to have warned it could not restore on one host; fix before trusting.</t>
        </is>
      </c>
      <c r="Q172" s="25" t="n"/>
    </row>
    <row r="173" ht="24" customHeight="1" s="14">
      <c r="A173" s="25" t="inlineStr">
        <is>
          <t>SC-CH-01</t>
        </is>
      </c>
      <c r="B173" s="25" t="inlineStr">
        <is>
          <t>SC</t>
        </is>
      </c>
      <c r="C173" s="25" t="inlineStr">
        <is>
          <t>Code</t>
        </is>
      </c>
      <c r="D173" s="25" t="inlineStr">
        <is>
          <t>Functional</t>
        </is>
      </c>
      <c r="E173" s="25" t="inlineStr">
        <is>
          <t>Multi Hop</t>
        </is>
      </c>
      <c r="F173" s="25" t="inlineStr">
        <is>
          <t>Execute one contract from five nodes in turn</t>
        </is>
      </c>
      <c r="G173" s="25" t="inlineStr">
        <is>
          <t>MULTI-NODE</t>
        </is>
      </c>
      <c r="H173" s="25" t="inlineStr">
        <is>
          <t>Fresh per hop</t>
        </is>
      </c>
      <c r="I173" s="25" t="inlineStr">
        <is>
          <t>All succeed</t>
        </is>
      </c>
      <c r="J173" s="25" t="inlineStr">
        <is>
          <t>Chain grows by one per execute and agrees on every node</t>
        </is>
      </c>
      <c r="K173" s="25" t="inlineStr">
        <is>
          <t>P1</t>
        </is>
      </c>
      <c r="L173" s="25" t="inlineStr">
        <is>
          <t>core/consensus/checks.go:122</t>
        </is>
      </c>
      <c r="M173" s="25" t="n"/>
      <c r="N173" s="25" t="n"/>
      <c r="O173" s="25" t="n"/>
      <c r="P173" s="26" t="inlineStr">
        <is>
          <t>MULTI-NODE - needs pinned roles across hops so the route is reproducible.</t>
        </is>
      </c>
      <c r="Q173" s="25" t="n"/>
    </row>
    <row r="174" ht="15" customHeight="1" s="14">
      <c r="A174" s="25" t="inlineStr">
        <is>
          <t>SC-CH-02</t>
        </is>
      </c>
      <c r="B174" s="25" t="inlineStr">
        <is>
          <t>SC</t>
        </is>
      </c>
      <c r="C174" s="25" t="inlineStr">
        <is>
          <t>Infra</t>
        </is>
      </c>
      <c r="D174" s="25" t="inlineStr">
        <is>
          <t>Performance</t>
        </is>
      </c>
      <c r="E174" s="25" t="inlineStr">
        <is>
          <t>Multi Hop</t>
        </is>
      </c>
      <c r="F174" s="25" t="inlineStr">
        <is>
          <t>Grow a contract chain to 50 entries then execute again</t>
        </is>
      </c>
      <c r="G174" s="25" t="inlineStr">
        <is>
          <t>MULTI-NODE</t>
        </is>
      </c>
      <c r="H174" s="25" t="inlineStr">
        <is>
          <t>Single</t>
        </is>
      </c>
      <c r="I174" s="25" t="inlineStr">
        <is>
          <t>Record the time as the chain grows</t>
        </is>
      </c>
      <c r="J174" s="25" t="inlineStr">
        <is>
          <t>Execute time should not grow with chain length</t>
        </is>
      </c>
      <c r="K174" s="25" t="inlineStr">
        <is>
          <t>P1</t>
        </is>
      </c>
      <c r="L174" s="25" t="n"/>
      <c r="M174" s="25" t="n"/>
      <c r="N174" s="25" t="n"/>
      <c r="O174" s="25" t="n"/>
      <c r="P174" s="26" t="inlineStr">
        <is>
          <t>MULTI-NODE - needs pinned roles across hops so the route is reproducible.</t>
        </is>
      </c>
      <c r="Q174" s="25" t="n"/>
    </row>
    <row r="175" ht="24" customHeight="1" s="14">
      <c r="A175" s="25" t="inlineStr">
        <is>
          <t>SC-S-01</t>
        </is>
      </c>
      <c r="B175" s="25" t="inlineStr">
        <is>
          <t>SC</t>
        </is>
      </c>
      <c r="C175" s="25" t="inlineStr">
        <is>
          <t>Code</t>
        </is>
      </c>
      <c r="D175" s="25" t="inlineStr">
        <is>
          <t>Functional</t>
        </is>
      </c>
      <c r="E175" s="25" t="inlineStr">
        <is>
          <t>Subscription</t>
        </is>
      </c>
      <c r="F175" s="25" t="inlineStr">
        <is>
          <t>Subscribe to a contract before it is deployed</t>
        </is>
      </c>
      <c r="G175" s="25" t="inlineStr">
        <is>
          <t>MULTI-NODE</t>
        </is>
      </c>
      <c r="H175" s="25" t="inlineStr">
        <is>
          <t>Single</t>
        </is>
      </c>
      <c r="I175" s="25" t="inlineStr">
        <is>
          <t>Record the behaviour</t>
        </is>
      </c>
      <c r="J175" s="25" t="inlineStr">
        <is>
          <t>Subscribing to a token that does not exist yet may fail or succeed - both are findings</t>
        </is>
      </c>
      <c r="K175" s="25" t="inlineStr">
        <is>
          <t>P0</t>
        </is>
      </c>
      <c r="L175" s="25" t="inlineStr">
        <is>
          <t>core/smart_contract.go:274</t>
        </is>
      </c>
      <c r="M175" s="25" t="n"/>
      <c r="N175" s="25" t="inlineStr">
        <is>
          <t>master</t>
        </is>
      </c>
      <c r="O175" s="25" t="n"/>
      <c r="P175" s="26" t="inlineStr">
        <is>
          <t>OK (record-only) - subscribing before deploy.</t>
        </is>
      </c>
      <c r="Q175" s="25" t="n"/>
    </row>
    <row r="176" ht="24" customHeight="1" s="14">
      <c r="A176" s="25" t="inlineStr">
        <is>
          <t>SC-S-04</t>
        </is>
      </c>
      <c r="B176" s="25" t="inlineStr">
        <is>
          <t>SC</t>
        </is>
      </c>
      <c r="C176" s="25" t="inlineStr">
        <is>
          <t>Code</t>
        </is>
      </c>
      <c r="D176" s="25" t="inlineStr">
        <is>
          <t>Functional</t>
        </is>
      </c>
      <c r="E176" s="25" t="inlineStr">
        <is>
          <t>Subscription</t>
        </is>
      </c>
      <c r="F176" s="25" t="inlineStr">
        <is>
          <t>Subscribe after several executions have already happened</t>
        </is>
      </c>
      <c r="G176" s="25" t="inlineStr">
        <is>
          <t>MULTI-NODE</t>
        </is>
      </c>
      <c r="H176" s="25" t="inlineStr">
        <is>
          <t>Single</t>
        </is>
      </c>
      <c r="I176" s="25" t="inlineStr">
        <is>
          <t>Subscriber holds the full chain including every execution it missed</t>
        </is>
      </c>
      <c r="J176" s="25" t="inlineStr">
        <is>
          <t>The deeper the chain when a node subscribes, the more a partial back-fill would hide</t>
        </is>
      </c>
      <c r="K176" s="25" t="inlineStr">
        <is>
          <t>P0</t>
        </is>
      </c>
      <c r="L176" s="25" t="inlineStr">
        <is>
          <t>core/smart_contract.go:190</t>
        </is>
      </c>
      <c r="M176" s="25" t="n"/>
      <c r="N176" s="25" t="inlineStr">
        <is>
          <t>master</t>
        </is>
      </c>
      <c r="O176" s="25" t="n"/>
      <c r="P176" s="26" t="inlineStr">
        <is>
          <t>One contract, subscribers joining at several depths, compared at the end. Verify all of it in one run: Every subscriber holds the full chain including entries from before it joined; value, status and position are identical on every node, not just the chain length. Repeat across subscribers joining at depth 0, 1, 5 and 20, and report each assertion separately so one failure cannot hide the others. Also covers SC-S-02, SC-S-03, SC-S-05, SC-S-07, SC-S-09. (Original note: MULTI-NODE - needs pinned roles across hops so the route is reproducible.)</t>
        </is>
      </c>
      <c r="Q176" s="25" t="n"/>
    </row>
    <row r="177" ht="34.5" customHeight="1" s="14">
      <c r="A177" s="25" t="inlineStr">
        <is>
          <t>SC-S-06</t>
        </is>
      </c>
      <c r="B177" s="25" t="inlineStr">
        <is>
          <t>SC</t>
        </is>
      </c>
      <c r="C177" s="25" t="inlineStr">
        <is>
          <t>Code</t>
        </is>
      </c>
      <c r="D177" s="25" t="inlineStr">
        <is>
          <t>Functional</t>
        </is>
      </c>
      <c r="E177" s="25" t="inlineStr">
        <is>
          <t>Subscription</t>
        </is>
      </c>
      <c r="F177" s="25" t="inlineStr">
        <is>
          <t>Several contracts with subscribers joining at many different depths</t>
        </is>
      </c>
      <c r="G177" s="25" t="inlineStr">
        <is>
          <t>MULTI-NODE</t>
        </is>
      </c>
      <c r="H177" s="25" t="inlineStr">
        <is>
          <t>Single</t>
        </is>
      </c>
      <c r="I177" s="25" t="inlineStr">
        <is>
          <t>Every subscriber matches the owner on every contract</t>
        </is>
      </c>
      <c r="J177" s="25" t="inlineStr">
        <is>
          <t>Several contracts syncing at once, and joins from depth 0 to depth 10; a partial back-fill has nowhere to hide</t>
        </is>
      </c>
      <c r="K177" s="25" t="inlineStr">
        <is>
          <t>P0</t>
        </is>
      </c>
      <c r="L177" s="25" t="inlineStr">
        <is>
          <t>core/smart_contract.go:190</t>
        </is>
      </c>
      <c r="M177" s="25" t="n"/>
      <c r="N177" s="25" t="inlineStr">
        <is>
          <t>master</t>
        </is>
      </c>
      <c r="O177" s="25" t="n"/>
      <c r="P177" s="26" t="inlineStr">
        <is>
          <t>MULTI-NODE - needs pinned roles across hops so the route is reproducible.</t>
        </is>
      </c>
      <c r="Q177" s="25" t="n"/>
    </row>
    <row r="178" ht="24" customHeight="1" s="14">
      <c r="A178" s="25" t="inlineStr">
        <is>
          <t>SC-S-08</t>
        </is>
      </c>
      <c r="B178" s="25" t="inlineStr">
        <is>
          <t>SC</t>
        </is>
      </c>
      <c r="C178" s="25" t="inlineStr">
        <is>
          <t>Code</t>
        </is>
      </c>
      <c r="D178" s="25" t="inlineStr">
        <is>
          <t>Functional</t>
        </is>
      </c>
      <c r="E178" s="25" t="inlineStr">
        <is>
          <t>Subscription</t>
        </is>
      </c>
      <c r="F178" s="25" t="inlineStr">
        <is>
          <t>Subscribe while an execute is in flight</t>
        </is>
      </c>
      <c r="G178" s="25" t="inlineStr">
        <is>
          <t>API-RACE</t>
        </is>
      </c>
      <c r="H178" s="25" t="inlineStr">
        <is>
          <t>Single</t>
        </is>
      </c>
      <c r="I178" s="25" t="inlineStr">
        <is>
          <t>Subscriber ends with the same chain as the owner</t>
        </is>
      </c>
      <c r="J178" s="25" t="inlineStr">
        <is>
          <t>Shorter means the in-flight entry was missed by both paths; longer means it arrived twice</t>
        </is>
      </c>
      <c r="K178" s="25" t="inlineStr">
        <is>
          <t>P0</t>
        </is>
      </c>
      <c r="L178" s="25" t="inlineStr">
        <is>
          <t>core/smart_contract.go:274</t>
        </is>
      </c>
      <c r="M178" s="25" t="n"/>
      <c r="N178" s="25" t="inlineStr">
        <is>
          <t>master</t>
        </is>
      </c>
      <c r="O178" s="25" t="n"/>
      <c r="P178" s="26" t="inlineStr">
        <is>
          <t>OK - subscribe while an execute is in flight. Highest-value subscription case.</t>
        </is>
      </c>
      <c r="Q178" s="25" t="n"/>
    </row>
    <row r="179" ht="24" customHeight="1" s="14">
      <c r="A179" s="25" t="inlineStr">
        <is>
          <t>SC-S-10</t>
        </is>
      </c>
      <c r="B179" s="25" t="inlineStr">
        <is>
          <t>SC</t>
        </is>
      </c>
      <c r="C179" s="25" t="inlineStr">
        <is>
          <t>Code</t>
        </is>
      </c>
      <c r="D179" s="25" t="inlineStr">
        <is>
          <t>Functional</t>
        </is>
      </c>
      <c r="E179" s="25" t="inlineStr">
        <is>
          <t>Subscription</t>
        </is>
      </c>
      <c r="F179" s="25" t="inlineStr">
        <is>
          <t>A later subscriber must see an earlier subscriber execute</t>
        </is>
      </c>
      <c r="G179" s="25" t="inlineStr">
        <is>
          <t>MULTI-NODE</t>
        </is>
      </c>
      <c r="H179" s="25" t="inlineStr">
        <is>
          <t>Single</t>
        </is>
      </c>
      <c r="I179" s="25" t="inlineStr">
        <is>
          <t>All three nodes agree</t>
        </is>
      </c>
      <c r="J179" s="25" t="inlineStr">
        <is>
          <t>Confirms the chain is shared state rather than owner-authored history others merely observe</t>
        </is>
      </c>
      <c r="K179" s="25" t="inlineStr">
        <is>
          <t>P0</t>
        </is>
      </c>
      <c r="L179" s="25" t="inlineStr">
        <is>
          <t>core/smart_contract.go:190</t>
        </is>
      </c>
      <c r="M179" s="25" t="n"/>
      <c r="N179" s="25" t="inlineStr">
        <is>
          <t>master</t>
        </is>
      </c>
      <c r="O179" s="25" t="n"/>
      <c r="P179" s="26" t="inlineStr">
        <is>
          <t>MULTI-NODE - needs pinned roles across hops so the route is reproducible.</t>
        </is>
      </c>
      <c r="Q179" s="25" t="n"/>
    </row>
    <row r="180" ht="34.5" customHeight="1" s="14">
      <c r="A180" s="25" t="inlineStr">
        <is>
          <t>SC-X-01</t>
        </is>
      </c>
      <c r="B180" s="25" t="inlineStr">
        <is>
          <t>SC</t>
        </is>
      </c>
      <c r="C180" s="25" t="inlineStr">
        <is>
          <t>Code</t>
        </is>
      </c>
      <c r="D180" s="25" t="inlineStr">
        <is>
          <t>Performance</t>
        </is>
      </c>
      <c r="E180" s="25" t="inlineStr">
        <is>
          <t>Scale</t>
        </is>
      </c>
      <c r="F180" s="25" t="inlineStr">
        <is>
          <t>Deploy two hundred contracts checking the counter at every checkpoint</t>
        </is>
      </c>
      <c r="G180" s="25" t="inlineStr">
        <is>
          <t>API-RACE</t>
        </is>
      </c>
      <c r="H180" s="25" t="inlineStr">
        <is>
          <t>Multi</t>
        </is>
      </c>
      <c r="I180" s="25" t="inlineStr">
        <is>
          <t>Counter consistent throughout and total spend matches the values</t>
        </is>
      </c>
      <c r="J180" s="25" t="inlineStr">
        <is>
          <t>Reports the deploy number at which the counter FIRST drifted - early means an immediate defect, late means accumulation</t>
        </is>
      </c>
      <c r="K180" s="25" t="inlineStr">
        <is>
          <t>P0</t>
        </is>
      </c>
      <c r="L180" s="25" t="inlineStr">
        <is>
          <t>core/transaction_builder.go</t>
        </is>
      </c>
      <c r="M180" s="25" t="n"/>
      <c r="N180" s="25" t="inlineStr">
        <is>
          <t>master</t>
        </is>
      </c>
      <c r="O180" s="25" t="n"/>
      <c r="P180" s="26" t="inlineStr">
        <is>
          <t>OK - concurrency case. Assert per-request outcomes, not just an aggregate pass rate.</t>
        </is>
      </c>
      <c r="Q180" s="25" t="n"/>
    </row>
    <row r="181" ht="24" customHeight="1" s="14">
      <c r="A181" s="25" t="inlineStr">
        <is>
          <t>SC-X-02</t>
        </is>
      </c>
      <c r="B181" s="25" t="inlineStr">
        <is>
          <t>SC</t>
        </is>
      </c>
      <c r="C181" s="25" t="inlineStr">
        <is>
          <t>Code</t>
        </is>
      </c>
      <c r="D181" s="25" t="inlineStr">
        <is>
          <t>Performance</t>
        </is>
      </c>
      <c r="E181" s="25" t="inlineStr">
        <is>
          <t>Scale</t>
        </is>
      </c>
      <c r="F181" s="25" t="inlineStr">
        <is>
          <t>Execute one contract two hundred times</t>
        </is>
      </c>
      <c r="G181" s="25" t="inlineStr">
        <is>
          <t>API-RACE</t>
        </is>
      </c>
      <c r="H181" s="25" t="inlineStr">
        <is>
          <t>Multi</t>
        </is>
      </c>
      <c r="I181" s="25" t="inlineStr">
        <is>
          <t>Chain length tracks the operation count throughout</t>
        </is>
      </c>
      <c r="J181" s="25" t="inlineStr">
        <is>
          <t>Ahead of the count means duplicate entries, behind means dropped ones</t>
        </is>
      </c>
      <c r="K181" s="25" t="inlineStr">
        <is>
          <t>P0</t>
        </is>
      </c>
      <c r="L181" s="25" t="inlineStr">
        <is>
          <t>core/transaction_builder.go</t>
        </is>
      </c>
      <c r="M181" s="25" t="n"/>
      <c r="N181" s="25" t="inlineStr">
        <is>
          <t>master</t>
        </is>
      </c>
      <c r="O181" s="25" t="n"/>
      <c r="P181" s="26" t="inlineStr">
        <is>
          <t>OK - concurrency case. Assert per-request outcomes, not just an aggregate pass rate.</t>
        </is>
      </c>
      <c r="Q181" s="25" t="n"/>
    </row>
    <row r="182" ht="15" customHeight="1" s="14">
      <c r="A182" s="25" t="inlineStr">
        <is>
          <t>SC-X-03</t>
        </is>
      </c>
      <c r="B182" s="25" t="inlineStr">
        <is>
          <t>SC</t>
        </is>
      </c>
      <c r="C182" s="25" t="inlineStr">
        <is>
          <t>Code</t>
        </is>
      </c>
      <c r="D182" s="25" t="inlineStr">
        <is>
          <t>Performance</t>
        </is>
      </c>
      <c r="E182" s="25" t="inlineStr">
        <is>
          <t>Scale</t>
        </is>
      </c>
      <c r="F182" s="25" t="inlineStr">
        <is>
          <t>Subscribers joining continuously throughout a long execute run</t>
        </is>
      </c>
      <c r="G182" s="25" t="inlineStr">
        <is>
          <t>API-RACE</t>
        </is>
      </c>
      <c r="H182" s="25" t="inlineStr">
        <is>
          <t>Multi</t>
        </is>
      </c>
      <c r="I182" s="25" t="inlineStr">
        <is>
          <t>Every subscriber matches the owner whatever depth it joined at</t>
        </is>
      </c>
      <c r="J182" s="25" t="inlineStr">
        <is>
          <t>Failures grouped by join depth - a clean cutoff means a back-fill limit, scattered means a delivery race</t>
        </is>
      </c>
      <c r="K182" s="25" t="inlineStr">
        <is>
          <t>P0</t>
        </is>
      </c>
      <c r="L182" s="25" t="inlineStr">
        <is>
          <t>core/smart_contract.go:190</t>
        </is>
      </c>
      <c r="M182" s="25" t="n"/>
      <c r="N182" s="25" t="inlineStr">
        <is>
          <t>master</t>
        </is>
      </c>
      <c r="O182" s="25" t="n"/>
      <c r="P182" s="26" t="inlineStr">
        <is>
          <t>OK - concurrency case. Assert per-request outcomes, not just an aggregate pass rate.</t>
        </is>
      </c>
      <c r="Q182" s="25" t="n"/>
    </row>
    <row r="183" ht="24" customHeight="1" s="14">
      <c r="A183" s="25" t="inlineStr">
        <is>
          <t>SC-X-04</t>
        </is>
      </c>
      <c r="B183" s="25" t="inlineStr">
        <is>
          <t>SC</t>
        </is>
      </c>
      <c r="C183" s="25" t="inlineStr">
        <is>
          <t>Code</t>
        </is>
      </c>
      <c r="D183" s="25" t="inlineStr">
        <is>
          <t>Performance</t>
        </is>
      </c>
      <c r="E183" s="25" t="inlineStr">
        <is>
          <t>Scale</t>
        </is>
      </c>
      <c r="F183" s="25" t="inlineStr">
        <is>
          <t>Every host deploying repeatedly and concurrently</t>
        </is>
      </c>
      <c r="G183" s="25" t="inlineStr">
        <is>
          <t>API-RACE</t>
        </is>
      </c>
      <c r="H183" s="25" t="inlineStr">
        <is>
          <t>Multi</t>
        </is>
      </c>
      <c r="I183" s="25" t="inlineStr">
        <is>
          <t>Every wallet and every quorum still reconciles afterwards</t>
        </is>
      </c>
      <c r="J183" s="25" t="inlineStr">
        <is>
          <t>Rejection rate is a capacity result; a drifting counter is a defect</t>
        </is>
      </c>
      <c r="K183" s="25" t="inlineStr">
        <is>
          <t>P0</t>
        </is>
      </c>
      <c r="L183" s="25" t="inlineStr">
        <is>
          <t>core/wallet/pledge.go:222</t>
        </is>
      </c>
      <c r="M183" s="25" t="n"/>
      <c r="N183" s="25" t="inlineStr">
        <is>
          <t>master</t>
        </is>
      </c>
      <c r="O183" s="25" t="n"/>
      <c r="P183" s="26" t="inlineStr">
        <is>
          <t>OK - but assert the DELTA in drift, not the absolute, for the same reason as SC-Q-12.</t>
        </is>
      </c>
      <c r="Q183" s="25" t="n"/>
    </row>
    <row r="184" ht="15" customHeight="1" s="14">
      <c r="A184" s="25" t="inlineStr">
        <is>
          <t>SC-X-05</t>
        </is>
      </c>
      <c r="B184" s="25" t="inlineStr">
        <is>
          <t>SC</t>
        </is>
      </c>
      <c r="C184" s="25" t="inlineStr">
        <is>
          <t>Code</t>
        </is>
      </c>
      <c r="D184" s="25" t="inlineStr">
        <is>
          <t>Performance</t>
        </is>
      </c>
      <c r="E184" s="25" t="inlineStr">
        <is>
          <t>Scale</t>
        </is>
      </c>
      <c r="F184" s="25" t="inlineStr">
        <is>
          <t>Deploy and execute alternately for a sustained period</t>
        </is>
      </c>
      <c r="G184" s="25" t="inlineStr">
        <is>
          <t>API-RACE</t>
        </is>
      </c>
      <c r="H184" s="25" t="inlineStr">
        <is>
          <t>Multi</t>
        </is>
      </c>
      <c r="I184" s="25" t="inlineStr">
        <is>
          <t>Counter consistent for the whole period</t>
        </is>
      </c>
      <c r="J184" s="25" t="inlineStr">
        <is>
          <t>Reports elapsed time as well as operation count - a time-dependent failure points at background work such as unpledging</t>
        </is>
      </c>
      <c r="K184" s="25" t="inlineStr">
        <is>
          <t>P0</t>
        </is>
      </c>
      <c r="L184" s="25" t="inlineStr">
        <is>
          <t>core/transaction_builder.go</t>
        </is>
      </c>
      <c r="M184" s="25" t="n"/>
      <c r="N184" s="25" t="inlineStr">
        <is>
          <t>master</t>
        </is>
      </c>
      <c r="O184" s="25" t="n"/>
      <c r="P184" s="26" t="inlineStr">
        <is>
          <t>OK - concurrency case. Assert per-request outcomes, not just an aggregate pass rate.</t>
        </is>
      </c>
      <c r="Q184" s="25" t="n"/>
    </row>
    <row r="185" ht="15" customHeight="1" s="14">
      <c r="A185" s="25" t="inlineStr">
        <is>
          <t>SC-Q-12</t>
        </is>
      </c>
      <c r="B185" s="25" t="inlineStr">
        <is>
          <t>SC</t>
        </is>
      </c>
      <c r="C185" s="25" t="inlineStr">
        <is>
          <t>Code</t>
        </is>
      </c>
      <c r="D185" s="25" t="inlineStr">
        <is>
          <t>Functional</t>
        </is>
      </c>
      <c r="E185" s="25" t="inlineStr">
        <is>
          <t>Quorum</t>
        </is>
      </c>
      <c r="F185" s="25" t="inlineStr">
        <is>
          <t>Measure the NEW quorum counter drift caused by one concurrent burst</t>
        </is>
      </c>
      <c r="G185" s="25" t="inlineStr">
        <is>
          <t>API</t>
        </is>
      </c>
      <c r="H185" s="25" t="inlineStr">
        <is>
          <t>Single</t>
        </is>
      </c>
      <c r="I185" s="25" t="inlineStr">
        <is>
          <t>No denomination gap widens across the burst</t>
        </is>
      </c>
      <c r="J185" s="25" t="inlineStr">
        <is>
          <t>Pledge path. Reports the DELTA, not the absolute gap - the fleet carries a permanent historical 0.023 that makes every absolute drift case red forever and would hide a real new leak</t>
        </is>
      </c>
      <c r="K185" s="25" t="inlineStr">
        <is>
          <t>P0</t>
        </is>
      </c>
      <c r="L185" s="25" t="inlineStr">
        <is>
          <t>core/pledge_v2.go:94</t>
        </is>
      </c>
      <c r="M185" s="25" t="n"/>
      <c r="N185" s="25" t="inlineStr">
        <is>
          <t>master</t>
        </is>
      </c>
      <c r="O185" s="25" t="n"/>
      <c r="P185" s="26" t="inlineStr">
        <is>
          <t>OK - measures the DELTA in quorum drift, not the absolute gap. Keep it that way; absolute drift cases go permanently red on a long-lived fleet.</t>
        </is>
      </c>
      <c r="Q185" s="25" t="n"/>
    </row>
    <row r="186" ht="24" customHeight="1" s="14">
      <c r="A186" s="25" t="inlineStr">
        <is>
          <t>CRS-C-06</t>
        </is>
      </c>
      <c r="B186" s="25" t="inlineStr">
        <is>
          <t>Cross-Asset</t>
        </is>
      </c>
      <c r="C186" s="25" t="inlineStr">
        <is>
          <t>Code</t>
        </is>
      </c>
      <c r="D186" s="25" t="inlineStr">
        <is>
          <t>Functional</t>
        </is>
      </c>
      <c r="E186" s="25" t="inlineStr">
        <is>
          <t>Combined</t>
        </is>
      </c>
      <c r="F186" s="25" t="inlineStr">
        <is>
          <t>Run the bundled transfer-plus-deploy twice at two different contract values</t>
        </is>
      </c>
      <c r="G186" s="25" t="inlineStr">
        <is>
          <t>API</t>
        </is>
      </c>
      <c r="H186" s="25" t="inlineStr">
        <is>
          <t>Single</t>
        </is>
      </c>
      <c r="I186" s="25" t="inlineStr">
        <is>
          <t>Receiver gains the transfer only both times</t>
        </is>
      </c>
      <c r="J186" s="25" t="inlineStr">
        <is>
          <t>The proof behind CRS-C-03, which rests on ONE reading. If the receiver's excess equals the contract value at both points and the two excesses differ by the difference in values, coincidence and a fixed surcharge are both excluded. Needed because CRS-C-03 fails on both builds for different reasons and its comparison bucket is misleading</t>
        </is>
      </c>
      <c r="K186" s="25" t="inlineStr">
        <is>
          <t>P0</t>
        </is>
      </c>
      <c r="L186" s="25" t="inlineStr">
        <is>
          <t>core/consensus/checks.go</t>
        </is>
      </c>
      <c r="M186" s="25" t="n"/>
      <c r="N186" s="25" t="inlineStr">
        <is>
          <t>master</t>
        </is>
      </c>
      <c r="O186" s="25" t="n"/>
      <c r="P186" s="26" t="inlineStr">
        <is>
          <t>OK - proves the receiver over-credit by varying the collateral across two runs.</t>
        </is>
      </c>
      <c r="Q186" s="25" t="n"/>
    </row>
    <row r="187" ht="15" customHeight="1" s="14">
      <c r="A187" s="25" t="inlineStr">
        <is>
          <t>CRS-01</t>
        </is>
      </c>
      <c r="B187" s="25" t="inlineStr">
        <is>
          <t>Cross-Asset</t>
        </is>
      </c>
      <c r="C187" s="25" t="inlineStr">
        <is>
          <t>Code</t>
        </is>
      </c>
      <c r="D187" s="25" t="inlineStr">
        <is>
          <t>Functional</t>
        </is>
      </c>
      <c r="E187" s="25" t="inlineStr">
        <is>
          <t>Combined</t>
        </is>
      </c>
      <c r="F187" s="25" t="inlineStr">
        <is>
          <t>Send RBT and FT in one transaction</t>
        </is>
      </c>
      <c r="G187" s="25" t="inlineStr">
        <is>
          <t>API</t>
        </is>
      </c>
      <c r="H187" s="25" t="inlineStr">
        <is>
          <t>Single</t>
        </is>
      </c>
      <c r="I187" s="25" t="inlineStr">
        <is>
          <t>Both move together</t>
        </is>
      </c>
      <c r="J187" s="25" t="inlineStr">
        <is>
          <t>Balances and counts both correct; one transaction ID</t>
        </is>
      </c>
      <c r="K187" s="25" t="inlineStr">
        <is>
          <t>P0</t>
        </is>
      </c>
      <c r="L187" s="25" t="n"/>
      <c r="M187" s="25" t="n"/>
      <c r="N187" s="25" t="n"/>
      <c r="O187" s="25" t="n"/>
      <c r="P187" s="26" t="inlineStr">
        <is>
          <t>OK - RBT + FT in one transaction.</t>
        </is>
      </c>
      <c r="Q187" s="25" t="n"/>
    </row>
    <row r="188" ht="24" customHeight="1" s="14">
      <c r="A188" s="25" t="inlineStr">
        <is>
          <t>CRS-04</t>
        </is>
      </c>
      <c r="B188" s="25" t="inlineStr">
        <is>
          <t>Cross-Asset</t>
        </is>
      </c>
      <c r="C188" s="25" t="inlineStr">
        <is>
          <t>Code</t>
        </is>
      </c>
      <c r="D188" s="25" t="inlineStr">
        <is>
          <t>Functional</t>
        </is>
      </c>
      <c r="E188" s="25" t="inlineStr">
        <is>
          <t>Combined</t>
        </is>
      </c>
      <c r="F188" s="25" t="inlineStr">
        <is>
          <t>Grow the combined transaction until it fails</t>
        </is>
      </c>
      <c r="G188" s="25" t="inlineStr">
        <is>
          <t>API</t>
        </is>
      </c>
      <c r="H188" s="25" t="inlineStr">
        <is>
          <t>Single</t>
        </is>
      </c>
      <c r="I188" s="25" t="inlineStr">
        <is>
          <t>Find how much fits in one transaction</t>
        </is>
      </c>
      <c r="J188" s="25" t="inlineStr">
        <is>
          <t>Record the component count where it breaks</t>
        </is>
      </c>
      <c r="K188" s="25" t="inlineStr">
        <is>
          <t>P0</t>
        </is>
      </c>
      <c r="L188" s="25" t="inlineStr">
        <is>
          <t>core/quorum_initiator.go:56</t>
        </is>
      </c>
      <c r="M188" s="25" t="n"/>
      <c r="N188" s="25" t="n"/>
      <c r="O188" s="25" t="n"/>
      <c r="P188" s="26" t="inlineStr">
        <is>
          <t>OK (record-only)</t>
        </is>
      </c>
      <c r="Q188" s="25" t="n"/>
    </row>
    <row r="189" ht="15" customHeight="1" s="14">
      <c r="A189" s="25" t="inlineStr">
        <is>
          <t>CRS-05</t>
        </is>
      </c>
      <c r="B189" s="25" t="inlineStr">
        <is>
          <t>Cross-Asset</t>
        </is>
      </c>
      <c r="C189" s="25" t="inlineStr">
        <is>
          <t>Code</t>
        </is>
      </c>
      <c r="D189" s="25" t="inlineStr">
        <is>
          <t>Functional</t>
        </is>
      </c>
      <c r="E189" s="25" t="inlineStr">
        <is>
          <t>Combined</t>
        </is>
      </c>
      <c r="F189" s="25" t="inlineStr">
        <is>
          <t>Combined call where one part is invalid</t>
        </is>
      </c>
      <c r="G189" s="25" t="inlineStr">
        <is>
          <t>API</t>
        </is>
      </c>
      <c r="H189" s="25" t="inlineStr">
        <is>
          <t>Single</t>
        </is>
      </c>
      <c r="I189" s="25" t="inlineStr">
        <is>
          <t>Whole transaction rejected</t>
        </is>
      </c>
      <c r="J189" s="25" t="inlineStr">
        <is>
          <t>Nothing applied - not even the valid parts</t>
        </is>
      </c>
      <c r="K189" s="25" t="inlineStr">
        <is>
          <t>P0</t>
        </is>
      </c>
      <c r="L189" s="25" t="n"/>
      <c r="M189" s="25" t="n"/>
      <c r="N189" s="25" t="n"/>
      <c r="O189" s="25" t="n"/>
      <c r="P189" s="26" t="inlineStr">
        <is>
          <t>OK - atomicity: one invalid part must reject the whole call. High value.</t>
        </is>
      </c>
      <c r="Q189" s="25" t="n"/>
    </row>
    <row r="190" ht="15" customHeight="1" s="14">
      <c r="A190" s="25" t="inlineStr">
        <is>
          <t>CRS-06</t>
        </is>
      </c>
      <c r="B190" s="25" t="inlineStr">
        <is>
          <t>Cross-Asset</t>
        </is>
      </c>
      <c r="C190" s="25" t="inlineStr">
        <is>
          <t>Code</t>
        </is>
      </c>
      <c r="D190" s="25" t="inlineStr">
        <is>
          <t>Functional</t>
        </is>
      </c>
      <c r="E190" s="25" t="inlineStr">
        <is>
          <t>Combined</t>
        </is>
      </c>
      <c r="F190" s="25" t="inlineStr">
        <is>
          <t>Combined call with a large RBT value plus assets</t>
        </is>
      </c>
      <c r="G190" s="25" t="inlineStr">
        <is>
          <t>API</t>
        </is>
      </c>
      <c r="H190" s="25" t="inlineStr">
        <is>
          <t>Single</t>
        </is>
      </c>
      <c r="I190" s="25" t="inlineStr">
        <is>
          <t>Succeeds if quorum can pledge the total</t>
        </is>
      </c>
      <c r="J190" s="25" t="inlineStr">
        <is>
          <t>Pledge covers RBT plus asset value together</t>
        </is>
      </c>
      <c r="K190" s="25" t="inlineStr">
        <is>
          <t>P0</t>
        </is>
      </c>
      <c r="L190" s="25" t="inlineStr">
        <is>
          <t>core/consensus/checks.go:520</t>
        </is>
      </c>
      <c r="M190" s="25" t="n"/>
      <c r="N190" s="25" t="n"/>
      <c r="O190" s="25" t="n"/>
      <c r="P190" s="26" t="inlineStr">
        <is>
          <t>OK</t>
        </is>
      </c>
      <c r="Q190" s="25" t="n"/>
    </row>
    <row r="191" ht="24" customHeight="1" s="14">
      <c r="A191" s="25" t="inlineStr">
        <is>
          <t>CRS-C-01</t>
        </is>
      </c>
      <c r="B191" s="25" t="inlineStr">
        <is>
          <t>Cross-Asset</t>
        </is>
      </c>
      <c r="C191" s="25" t="inlineStr">
        <is>
          <t>Code</t>
        </is>
      </c>
      <c r="D191" s="25" t="inlineStr">
        <is>
          <t>Functional</t>
        </is>
      </c>
      <c r="E191" s="25" t="inlineStr">
        <is>
          <t>Combined</t>
        </is>
      </c>
      <c r="F191" s="25" t="inlineStr">
        <is>
          <t>Deploy a contract with a value and transfer RBT in one call</t>
        </is>
      </c>
      <c r="G191" s="25" t="inlineStr">
        <is>
          <t>API</t>
        </is>
      </c>
      <c r="H191" s="25" t="inlineStr">
        <is>
          <t>Single</t>
        </is>
      </c>
      <c r="I191" s="25" t="inlineStr">
        <is>
          <t>Both succeed and each deducts its own amount</t>
        </is>
      </c>
      <c r="J191" s="25" t="inlineStr">
        <is>
          <t>Collateral and transfer both touch the denomination counter by different paths; together they must not double-count or cancel out</t>
        </is>
      </c>
      <c r="K191" s="25" t="inlineStr">
        <is>
          <t>P0</t>
        </is>
      </c>
      <c r="L191" s="25" t="inlineStr">
        <is>
          <t>core/wallet/post_consensus_persistence.go</t>
        </is>
      </c>
      <c r="M191" s="25" t="n"/>
      <c r="N191" s="25" t="inlineStr">
        <is>
          <t>master</t>
        </is>
      </c>
      <c r="O191" s="25" t="n"/>
      <c r="P191" s="26" t="inlineStr">
        <is>
          <t>OK Build the wallet this case needs before starting - never skip on shape. See 'Wallet preparation' in the Legend.</t>
        </is>
      </c>
      <c r="Q191" s="25" t="n"/>
    </row>
    <row r="192" ht="24" customHeight="1" s="14">
      <c r="A192" s="25" t="inlineStr">
        <is>
          <t>CRS-C-02</t>
        </is>
      </c>
      <c r="B192" s="25" t="inlineStr">
        <is>
          <t>Cross-Asset</t>
        </is>
      </c>
      <c r="C192" s="25" t="inlineStr">
        <is>
          <t>Code</t>
        </is>
      </c>
      <c r="D192" s="25" t="inlineStr">
        <is>
          <t>Functional</t>
        </is>
      </c>
      <c r="E192" s="25" t="inlineStr">
        <is>
          <t>Combined</t>
        </is>
      </c>
      <c r="F192" s="25" t="inlineStr">
        <is>
          <t>Deploy a contract and mint an FT at the same moment on one DID</t>
        </is>
      </c>
      <c r="G192" s="25" t="inlineStr">
        <is>
          <t>API-RACE</t>
        </is>
      </c>
      <c r="H192" s="25" t="inlineStr">
        <is>
          <t>Single</t>
        </is>
      </c>
      <c r="I192" s="25" t="inlineStr">
        <is>
          <t>Both succeed and the denomination counter stays consistent</t>
        </is>
      </c>
      <c r="J192" s="25" t="inlineStr">
        <is>
          <t>The two counter fixes write token_denom from different code paths for the same DID and do not appear to coordinate; this is the only case that runs both at once</t>
        </is>
      </c>
      <c r="K192" s="25" t="inlineStr">
        <is>
          <t>P0</t>
        </is>
      </c>
      <c r="L192" s="25" t="inlineStr">
        <is>
          <t>core/wallet/post_consensus_persistence.go</t>
        </is>
      </c>
      <c r="M192" s="25" t="n"/>
      <c r="N192" s="25" t="inlineStr">
        <is>
          <t>master</t>
        </is>
      </c>
      <c r="O192" s="25" t="n"/>
      <c r="P192" s="26" t="inlineStr">
        <is>
          <t>OK - deploy + FT mint at the same moment: two counter writers on one DID.</t>
        </is>
      </c>
      <c r="Q192" s="25" t="n"/>
    </row>
    <row r="193" ht="15" customHeight="1" s="14">
      <c r="A193" s="25" t="inlineStr">
        <is>
          <t>CRS-C-03</t>
        </is>
      </c>
      <c r="B193" s="25" t="inlineStr">
        <is>
          <t>Cross-Asset</t>
        </is>
      </c>
      <c r="C193" s="25" t="inlineStr">
        <is>
          <t>Code</t>
        </is>
      </c>
      <c r="D193" s="25" t="inlineStr">
        <is>
          <t>Functional</t>
        </is>
      </c>
      <c r="E193" s="25" t="inlineStr">
        <is>
          <t>Combined</t>
        </is>
      </c>
      <c r="F193" s="25" t="inlineStr">
        <is>
          <t>Check what the receiver node records after a bundled deploy and transfer</t>
        </is>
      </c>
      <c r="G193" s="25" t="inlineStr">
        <is>
          <t>MULTI-NODE</t>
        </is>
      </c>
      <c r="H193" s="25" t="inlineStr">
        <is>
          <t>Single</t>
        </is>
      </c>
      <c r="I193" s="25" t="inlineStr">
        <is>
          <t>Receiver gains the transfer only, not the collateral</t>
        </is>
      </c>
      <c r="J193" s="25" t="inlineStr">
        <is>
          <t>The commit guard requires the initiator role, so on the receiver node the collateral falls to the default branch and is written as free tokens the receiver owns</t>
        </is>
      </c>
      <c r="K193" s="25" t="inlineStr">
        <is>
          <t>P0</t>
        </is>
      </c>
      <c r="L193" s="25" t="inlineStr">
        <is>
          <t>core/wallet/post_consensus_persistence.go; core/wallet/post_consensus_payload_builder.go:199 isSCDeployCommit is Initiator-only</t>
        </is>
      </c>
      <c r="M193" s="25" t="n"/>
      <c r="N193" s="25" t="inlineStr">
        <is>
          <t>master</t>
        </is>
      </c>
      <c r="O193" s="25" t="n"/>
      <c r="P193" s="26" t="inlineStr">
        <is>
          <t>ONE bundled deploy-plus-transfer, read from the receiver's node. Verify all of it in one run: Receiver's free value rises by the transfer only; the collateral appears nowhere in the receiver's tokens or token_denom; the initiator holds it as Committed. Repeat across two different contract values, so the receiver's excess can be shown to track the collateral, and report each assertion separately so one failure cannot hide the others. Also covers CRS-C-07. Build the wallet this case needs before starting - never skip on shape. See 'Wallet preparation' in the Legend.</t>
        </is>
      </c>
      <c r="Q193" s="25" t="n"/>
    </row>
    <row r="194" ht="15" customHeight="1" s="14">
      <c r="A194" s="25" t="inlineStr">
        <is>
          <t>CRS-C-04</t>
        </is>
      </c>
      <c r="B194" s="25" t="inlineStr">
        <is>
          <t>Cross-Asset</t>
        </is>
      </c>
      <c r="C194" s="25" t="inlineStr">
        <is>
          <t>Code</t>
        </is>
      </c>
      <c r="D194" s="25" t="inlineStr">
        <is>
          <t>Functional</t>
        </is>
      </c>
      <c r="E194" s="25" t="inlineStr">
        <is>
          <t>Combined</t>
        </is>
      </c>
      <c r="F194" s="25" t="inlineStr">
        <is>
          <t>Transfer between two DIDs on one node</t>
        </is>
      </c>
      <c r="G194" s="25" t="inlineStr">
        <is>
          <t>MULTI-NODE</t>
        </is>
      </c>
      <c r="H194" s="25" t="inlineStr">
        <is>
          <t>Single</t>
        </is>
      </c>
      <c r="I194" s="25" t="inlineStr">
        <is>
          <t>Sender falls by the amount and the other local DID rises by it</t>
        </is>
      </c>
      <c r="J194" s="25" t="inlineStr">
        <is>
          <t>Needs a host tagged multidid in hosts.txt; the baseline for CRS-C-05, and the only way to reach the same-node branch at all</t>
        </is>
      </c>
      <c r="K194" s="25" t="inlineStr">
        <is>
          <t>P0</t>
        </is>
      </c>
      <c r="L194" s="25" t="inlineStr">
        <is>
          <t>core/wallet/post_consensus_persistence.go</t>
        </is>
      </c>
      <c r="M194" s="25" t="n"/>
      <c r="N194" s="25" t="n"/>
      <c r="O194" s="25" t="n"/>
      <c r="P194" s="26" t="inlineStr">
        <is>
          <t>BLOCKED - needs two DIDs on one node ('multidid'). No host carries that tag yet.</t>
        </is>
      </c>
      <c r="Q194" s="25" t="n"/>
    </row>
    <row r="195" ht="24" customHeight="1" s="14">
      <c r="A195" s="25" t="inlineStr">
        <is>
          <t>CRS-C-05</t>
        </is>
      </c>
      <c r="B195" s="25" t="inlineStr">
        <is>
          <t>Cross-Asset</t>
        </is>
      </c>
      <c r="C195" s="25" t="inlineStr">
        <is>
          <t>Code</t>
        </is>
      </c>
      <c r="D195" s="25" t="inlineStr">
        <is>
          <t>Functional</t>
        </is>
      </c>
      <c r="E195" s="25" t="inlineStr">
        <is>
          <t>Combined</t>
        </is>
      </c>
      <c r="F195" s="25" t="inlineStr">
        <is>
          <t>Same-node transfer bundled with a valued contract deploy</t>
        </is>
      </c>
      <c r="G195" s="25" t="inlineStr">
        <is>
          <t>MULTI-NODE</t>
        </is>
      </c>
      <c r="H195" s="25" t="inlineStr">
        <is>
          <t>Single</t>
        </is>
      </c>
      <c r="I195" s="25" t="inlineStr">
        <is>
          <t>Sender pays transfer plus value, the local receiver gains the transfer only</t>
        </is>
      </c>
      <c r="J195" s="25" t="inlineStr">
        <is>
          <t>The one branch of the denom gate nothing else can reach - the suppression assumes a same-node transfer and a deploy never usefully coincide, and a bundle breaks that</t>
        </is>
      </c>
      <c r="K195" s="25" t="inlineStr">
        <is>
          <t>P0</t>
        </is>
      </c>
      <c r="L195" s="25" t="inlineStr">
        <is>
          <t>core/wallet/post_consensus_persistence.go</t>
        </is>
      </c>
      <c r="M195" s="25" t="n"/>
      <c r="N195" s="25" t="n"/>
      <c r="O195" s="25" t="n"/>
      <c r="P195" s="26" t="inlineStr">
        <is>
          <t>BLOCKED - same multidid precondition.</t>
        </is>
      </c>
      <c r="Q195" s="25" t="n"/>
    </row>
    <row r="196" ht="24" customHeight="1" s="14">
      <c r="A196" s="25" t="inlineStr">
        <is>
          <t>CRS-13</t>
        </is>
      </c>
      <c r="B196" s="25" t="inlineStr">
        <is>
          <t>Cross-Asset</t>
        </is>
      </c>
      <c r="C196" s="25" t="inlineStr">
        <is>
          <t>Code</t>
        </is>
      </c>
      <c r="D196" s="25" t="inlineStr">
        <is>
          <t>Functional</t>
        </is>
      </c>
      <c r="E196" s="25" t="inlineStr">
        <is>
          <t>Combined</t>
        </is>
      </c>
      <c r="F196" s="25" t="inlineStr">
        <is>
          <t>Map which asset combinations are accepted in one transaction, and why the rest are not</t>
        </is>
      </c>
      <c r="G196" s="25" t="inlineStr">
        <is>
          <t>API</t>
        </is>
      </c>
      <c r="H196" s="25" t="inlineStr">
        <is>
          <t>Single</t>
        </is>
      </c>
      <c r="I196" s="25" t="inlineStr">
        <is>
          <t>A complete matrix, each combination accepted or rejected with its reason</t>
        </is>
      </c>
      <c r="J196" s="25" t="n"/>
      <c r="K196" s="25" t="inlineStr">
        <is>
          <t>P0</t>
        </is>
      </c>
      <c r="L196" s="25" t="inlineStr">
        <is>
          <t>core/transaction_builder.go:432-435</t>
        </is>
      </c>
      <c r="M196" s="25" t="n"/>
      <c r="N196" s="25" t="n"/>
      <c r="O196" s="25" t="n"/>
      <c r="P196" s="26" t="inlineStr">
        <is>
          <t>Enumerate each asset alone (RBT, FT, NFT transfer, NFT execute, NFT deploy, SC deploy, SC execute), then every pair, then triples, then all together, running each three times - once is not enough to call a combination supported. Only ONE guard exists in the code: NFT deploy cannot be combined with RBT/FT/SC. Everything else is unguarded, so the real constraint is the single Owner field: SC deploy pins Owner to the initiator while an RBT transfer needs Owner to be the receiver. Record what was accepted, what actually moved on BOTH nodes, and whether the answer was the same all three times.</t>
        </is>
      </c>
      <c r="Q196" s="25" t="n"/>
    </row>
    <row r="197" ht="24" customHeight="1" s="14">
      <c r="A197" s="25" t="inlineStr">
        <is>
          <t>CRS-C-08</t>
        </is>
      </c>
      <c r="B197" s="25" t="inlineStr">
        <is>
          <t>Cross-Asset</t>
        </is>
      </c>
      <c r="C197" s="25" t="inlineStr">
        <is>
          <t>Code</t>
        </is>
      </c>
      <c r="D197" s="25" t="inlineStr">
        <is>
          <t>Functional</t>
        </is>
      </c>
      <c r="E197" s="25" t="inlineStr">
        <is>
          <t>Combined</t>
        </is>
      </c>
      <c r="F197" s="25" t="inlineStr">
        <is>
          <t>Bundle a transfer with a valued deploy and check the collateral is not recorded on both nodes</t>
        </is>
      </c>
      <c r="G197" s="25" t="inlineStr">
        <is>
          <t>MULTI-NODE</t>
        </is>
      </c>
      <c r="H197" s="25" t="inlineStr">
        <is>
          <t>Single</t>
        </is>
      </c>
      <c r="I197" s="25" t="inlineStr">
        <is>
          <t>The collateral exists once, on the initiator, as Committed</t>
        </is>
      </c>
      <c r="J197" s="25" t="n"/>
      <c r="K197" s="25" t="inlineStr">
        <is>
          <t>P0</t>
        </is>
      </c>
      <c r="L197" s="25" t="inlineStr">
        <is>
          <t>core/wallet/post_consensus_payload_builder.go:199</t>
        </is>
      </c>
      <c r="M197" s="25" t="n"/>
      <c r="N197" s="25" t="n"/>
      <c r="O197" s="25" t="n"/>
      <c r="P197" s="26" t="inlineStr">
        <is>
          <t>If the initiator commits the collateral and the receiver also credits it as Free, the value exists twice. That is the most serious reading of the receiver over-credit. Repeat at two different contract values.</t>
        </is>
      </c>
      <c r="Q197" s="25" t="n"/>
    </row>
    <row r="198" ht="34.5" customHeight="1" s="14">
      <c r="A198" s="25" t="inlineStr">
        <is>
          <t>CRS-07</t>
        </is>
      </c>
      <c r="B198" s="25" t="inlineStr">
        <is>
          <t>Cross-Asset</t>
        </is>
      </c>
      <c r="C198" s="25" t="inlineStr">
        <is>
          <t>Code</t>
        </is>
      </c>
      <c r="D198" s="25" t="inlineStr">
        <is>
          <t>Functional</t>
        </is>
      </c>
      <c r="E198" s="25" t="inlineStr">
        <is>
          <t>Restriction</t>
        </is>
      </c>
      <c r="F198" s="25" t="inlineStr">
        <is>
          <t>NFT deploy combined with RBT</t>
        </is>
      </c>
      <c r="G198" s="25" t="inlineStr">
        <is>
          <t>API</t>
        </is>
      </c>
      <c r="H198" s="25" t="inlineStr">
        <is>
          <t>Single</t>
        </is>
      </c>
      <c r="I198" s="25" t="inlineStr">
        <is>
          <t>Rejected</t>
        </is>
      </c>
      <c r="J198" s="25" t="inlineStr">
        <is>
          <t>Clear error about the deploy restriction</t>
        </is>
      </c>
      <c r="K198" s="25" t="inlineStr">
        <is>
          <t>P0</t>
        </is>
      </c>
      <c r="L198" s="25" t="inlineStr">
        <is>
          <t>core/transaction_builder.go:433</t>
        </is>
      </c>
      <c r="M198" s="25" t="n"/>
      <c r="N198" s="25" t="n"/>
      <c r="O198" s="25" t="n"/>
      <c r="P198" s="26" t="inlineStr">
        <is>
          <t>Three NFT-deploy combinations in one case: with RBT, with FT, with a contract. Verify all of it in one run: All three rejected by the same guard (core/transaction_builder.go:432-435). Repeat across three combinations in one run, and report each assertion separately so one failure cannot hide the others. Also covers CRS-08, CRS-09.</t>
        </is>
      </c>
      <c r="Q198" s="25" t="n"/>
    </row>
    <row r="199" ht="24" customHeight="1" s="14">
      <c r="A199" s="25" t="inlineStr">
        <is>
          <t>CRS-10</t>
        </is>
      </c>
      <c r="B199" s="25" t="inlineStr">
        <is>
          <t>Cross-Asset</t>
        </is>
      </c>
      <c r="C199" s="25" t="inlineStr">
        <is>
          <t>Code</t>
        </is>
      </c>
      <c r="D199" s="25" t="inlineStr">
        <is>
          <t>Functional</t>
        </is>
      </c>
      <c r="E199" s="25" t="inlineStr">
        <is>
          <t>Failure</t>
        </is>
      </c>
      <c r="F199" s="25" t="inlineStr">
        <is>
          <t>Combined transaction fails midway</t>
        </is>
      </c>
      <c r="G199" s="25" t="inlineStr">
        <is>
          <t>NODE-KILL</t>
        </is>
      </c>
      <c r="H199" s="25" t="inlineStr">
        <is>
          <t>Single</t>
        </is>
      </c>
      <c r="I199" s="25" t="inlineStr">
        <is>
          <t>Nothing is applied</t>
        </is>
      </c>
      <c r="J199" s="25" t="inlineStr">
        <is>
          <t>All locks released for RBT FT NFT and contract</t>
        </is>
      </c>
      <c r="K199" s="25" t="inlineStr">
        <is>
          <t>P0</t>
        </is>
      </c>
      <c r="L199" s="25" t="inlineStr">
        <is>
          <t>core/transaction.go:67</t>
        </is>
      </c>
      <c r="M199" s="25" t="n"/>
      <c r="N199" s="25" t="n"/>
      <c r="O199" s="25" t="n"/>
      <c r="P199" s="26" t="inlineStr">
        <is>
          <t>NODE-KILL - atomicity under a mid-call kill. Very high value.</t>
        </is>
      </c>
      <c r="Q199" s="25" t="n"/>
    </row>
    <row r="200" ht="24" customHeight="1" s="14">
      <c r="A200" s="25" t="inlineStr">
        <is>
          <t>CRS-B-02</t>
        </is>
      </c>
      <c r="B200" s="25" t="inlineStr">
        <is>
          <t>Cross-Asset</t>
        </is>
      </c>
      <c r="C200" s="25" t="inlineStr">
        <is>
          <t>Infra</t>
        </is>
      </c>
      <c r="D200" s="25" t="inlineStr">
        <is>
          <t>Performance</t>
        </is>
      </c>
      <c r="E200" s="25" t="inlineStr">
        <is>
          <t>Bulk</t>
        </is>
      </c>
      <c r="F200" s="25" t="inlineStr">
        <is>
          <t>Run 100 combined calls in parallel</t>
        </is>
      </c>
      <c r="G200" s="25" t="inlineStr">
        <is>
          <t>API-RACE</t>
        </is>
      </c>
      <c r="H200" s="25" t="inlineStr">
        <is>
          <t>Multi</t>
        </is>
      </c>
      <c r="I200" s="25" t="inlineStr">
        <is>
          <t>Record the rate and any failures</t>
        </is>
      </c>
      <c r="J200" s="25" t="inlineStr">
        <is>
          <t>All three asset types reconcile afterwards</t>
        </is>
      </c>
      <c r="K200" s="25" t="inlineStr">
        <is>
          <t>P1</t>
        </is>
      </c>
      <c r="L200" s="25" t="n"/>
      <c r="M200" s="25" t="n"/>
      <c r="N200" s="25" t="n"/>
      <c r="O200" s="25" t="n"/>
      <c r="P200" s="26" t="inlineStr">
        <is>
          <t>Combined calls under load: 100 in parallel, mixed with single-asset calls. Verify all of it in one run: Record rate, pass rate and whether mixing changes the behaviour. Repeat across 25, 50, 100 combined calls in parallel, and report each assertion separately so one failure cannot hide the others. Also covers CRS-11, CRS-12, CRS-B-03.</t>
        </is>
      </c>
      <c r="Q200" s="25" t="n"/>
    </row>
    <row r="201" ht="24" customHeight="1" s="14">
      <c r="A201" s="25" t="inlineStr">
        <is>
          <t>CRS-Q-02</t>
        </is>
      </c>
      <c r="B201" s="25" t="inlineStr">
        <is>
          <t>Cross-Asset</t>
        </is>
      </c>
      <c r="C201" s="25" t="inlineStr">
        <is>
          <t>Code</t>
        </is>
      </c>
      <c r="D201" s="25" t="inlineStr">
        <is>
          <t>Functional</t>
        </is>
      </c>
      <c r="E201" s="25" t="inlineStr">
        <is>
          <t>Quorum Capacity</t>
        </is>
      </c>
      <c r="F201" s="25" t="inlineStr">
        <is>
          <t>Find out what the quorum pledges for a combined call</t>
        </is>
      </c>
      <c r="G201" s="25" t="inlineStr">
        <is>
          <t>API</t>
        </is>
      </c>
      <c r="H201" s="25" t="inlineStr">
        <is>
          <t>Single</t>
        </is>
      </c>
      <c r="I201" s="25" t="inlineStr">
        <is>
          <t>Record whether it pledges the RBT alone or the combined value</t>
        </is>
      </c>
      <c r="J201" s="25" t="inlineStr">
        <is>
          <t>Determines the real ceiling on combined calls - untested elsewhere</t>
        </is>
      </c>
      <c r="K201" s="25" t="inlineStr">
        <is>
          <t>P0</t>
        </is>
      </c>
      <c r="L201" s="25" t="inlineStr">
        <is>
          <t>core/consensus/checks.go:539</t>
        </is>
      </c>
      <c r="M201" s="25" t="n"/>
      <c r="N201" s="25" t="n"/>
      <c r="O201" s="25" t="n"/>
      <c r="P201" s="26" t="inlineStr">
        <is>
          <t>OK (record-only) - what does the quorum pledge for a combined call? Worth knowing precisely.</t>
        </is>
      </c>
      <c r="Q201" s="25" t="n"/>
    </row>
    <row r="202" ht="34.5" customHeight="1" s="14">
      <c r="A202" s="25" t="inlineStr">
        <is>
          <t>CRS-Q-03</t>
        </is>
      </c>
      <c r="B202" s="25" t="inlineStr">
        <is>
          <t>Cross-Asset</t>
        </is>
      </c>
      <c r="C202" s="25" t="inlineStr">
        <is>
          <t>Code</t>
        </is>
      </c>
      <c r="D202" s="25" t="inlineStr">
        <is>
          <t>Functional</t>
        </is>
      </c>
      <c r="E202" s="25" t="inlineStr">
        <is>
          <t>Quorum Capacity</t>
        </is>
      </c>
      <c r="F202" s="25" t="inlineStr">
        <is>
          <t>Combined call where the quorum covers the RBT but not the total</t>
        </is>
      </c>
      <c r="G202" s="25" t="inlineStr">
        <is>
          <t>API</t>
        </is>
      </c>
      <c r="H202" s="25" t="inlineStr">
        <is>
          <t>Single</t>
        </is>
      </c>
      <c r="I202" s="25" t="inlineStr">
        <is>
          <t>Record the behaviour</t>
        </is>
      </c>
      <c r="J202" s="25" t="inlineStr">
        <is>
          <t>Either it is rejected as a whole or the pledge only covers part - both are findings</t>
        </is>
      </c>
      <c r="K202" s="25" t="inlineStr">
        <is>
          <t>P0</t>
        </is>
      </c>
      <c r="L202" s="25" t="inlineStr">
        <is>
          <t>core/consensus/checks.go:539</t>
        </is>
      </c>
      <c r="M202" s="25" t="n"/>
      <c r="N202" s="25" t="n"/>
      <c r="O202" s="25" t="n"/>
      <c r="P202" s="26" t="inlineStr">
        <is>
          <t>OK (record-only)</t>
        </is>
      </c>
      <c r="Q202" s="25" t="n"/>
    </row>
    <row r="203" ht="34.5" customHeight="1" s="14">
      <c r="A203" s="25" t="inlineStr">
        <is>
          <t>CRS-Q-04</t>
        </is>
      </c>
      <c r="B203" s="25" t="inlineStr">
        <is>
          <t>Cross-Asset</t>
        </is>
      </c>
      <c r="C203" s="25" t="inlineStr">
        <is>
          <t>Code</t>
        </is>
      </c>
      <c r="D203" s="25" t="inlineStr">
        <is>
          <t>Functional</t>
        </is>
      </c>
      <c r="E203" s="25" t="inlineStr">
        <is>
          <t>Quorum Capacity</t>
        </is>
      </c>
      <c r="F203" s="25" t="inlineStr">
        <is>
          <t>Run the same combined call against each quorum in turn</t>
        </is>
      </c>
      <c r="G203" s="25" t="inlineStr">
        <is>
          <t>API</t>
        </is>
      </c>
      <c r="H203" s="25" t="inlineStr">
        <is>
          <t>Multi</t>
        </is>
      </c>
      <c r="I203" s="25" t="inlineStr">
        <is>
          <t>All succeed identically</t>
        </is>
      </c>
      <c r="J203" s="25" t="inlineStr">
        <is>
          <t>A quorum-specific failure here points at quorum state, not at the call</t>
        </is>
      </c>
      <c r="K203" s="25" t="inlineStr">
        <is>
          <t>P1</t>
        </is>
      </c>
      <c r="L203" s="25" t="inlineStr">
        <is>
          <t>core/transaction.go:171</t>
        </is>
      </c>
      <c r="M203" s="25" t="n"/>
      <c r="N203" s="25" t="n"/>
      <c r="O203" s="25" t="n"/>
      <c r="P203" s="26" t="inlineStr">
        <is>
          <t>OK</t>
        </is>
      </c>
      <c r="Q203" s="25" t="n"/>
    </row>
    <row r="204" ht="24" customHeight="1" s="14">
      <c r="A204" s="25" t="inlineStr">
        <is>
          <t>CRS-IN-01</t>
        </is>
      </c>
      <c r="B204" s="25" t="inlineStr">
        <is>
          <t>Cross-Asset</t>
        </is>
      </c>
      <c r="C204" s="25" t="inlineStr">
        <is>
          <t>Code</t>
        </is>
      </c>
      <c r="D204" s="25" t="inlineStr">
        <is>
          <t>Functional</t>
        </is>
      </c>
      <c r="E204" s="25" t="inlineStr">
        <is>
          <t>Integrity</t>
        </is>
      </c>
      <c r="F204" s="25" t="inlineStr">
        <is>
          <t>Reconcile all three asset types after a combined run</t>
        </is>
      </c>
      <c r="G204" s="25" t="inlineStr">
        <is>
          <t>API</t>
        </is>
      </c>
      <c r="H204" s="25" t="inlineStr">
        <is>
          <t>Single</t>
        </is>
      </c>
      <c r="I204" s="25" t="inlineStr">
        <is>
          <t>Everything adds up</t>
        </is>
      </c>
      <c r="J204" s="25" t="inlineStr">
        <is>
          <t>RBT totals, FT counts and NFT ownership all consistent together</t>
        </is>
      </c>
      <c r="K204" s="25" t="inlineStr">
        <is>
          <t>P0</t>
        </is>
      </c>
      <c r="L204" s="25" t="n"/>
      <c r="M204" s="25" t="n"/>
      <c r="N204" s="25" t="n"/>
      <c r="O204" s="25" t="n"/>
      <c r="P204" s="26" t="inlineStr">
        <is>
          <t>REWRITE - same sink problem as RBT-IN-01.</t>
        </is>
      </c>
      <c r="Q204" s="25" t="n"/>
    </row>
    <row r="205" ht="24" customHeight="1" s="14">
      <c r="A205" s="25" t="inlineStr">
        <is>
          <t>CRS-IN-02</t>
        </is>
      </c>
      <c r="B205" s="25" t="inlineStr">
        <is>
          <t>Cross-Asset</t>
        </is>
      </c>
      <c r="C205" s="25" t="inlineStr">
        <is>
          <t>Code</t>
        </is>
      </c>
      <c r="D205" s="25" t="inlineStr">
        <is>
          <t>Functional</t>
        </is>
      </c>
      <c r="E205" s="25" t="inlineStr">
        <is>
          <t>Integrity</t>
        </is>
      </c>
      <c r="F205" s="25" t="inlineStr">
        <is>
          <t>Check a rejected combined call left nothing applied</t>
        </is>
      </c>
      <c r="G205" s="25" t="inlineStr">
        <is>
          <t>API</t>
        </is>
      </c>
      <c r="H205" s="25" t="inlineStr">
        <is>
          <t>Single</t>
        </is>
      </c>
      <c r="I205" s="25" t="inlineStr">
        <is>
          <t>No part was applied</t>
        </is>
      </c>
      <c r="J205" s="25" t="inlineStr">
        <is>
          <t>Not even the valid parts - and no locks left behind on any asset type</t>
        </is>
      </c>
      <c r="K205" s="25" t="inlineStr">
        <is>
          <t>P0</t>
        </is>
      </c>
      <c r="L205" s="25" t="inlineStr">
        <is>
          <t>core/transaction.go:70</t>
        </is>
      </c>
      <c r="M205" s="25" t="n"/>
      <c r="N205" s="25" t="n"/>
      <c r="O205" s="25" t="n"/>
      <c r="P205" s="26" t="inlineStr">
        <is>
          <t>OK - nothing applied after a rejection.</t>
        </is>
      </c>
      <c r="Q205" s="25" t="n"/>
    </row>
    <row r="206" ht="24" customHeight="1" s="14">
      <c r="A206" s="25" t="inlineStr">
        <is>
          <t>CRS-DB-01</t>
        </is>
      </c>
      <c r="B206" s="25" t="inlineStr">
        <is>
          <t>Cross-Asset</t>
        </is>
      </c>
      <c r="C206" s="25" t="inlineStr">
        <is>
          <t>Code</t>
        </is>
      </c>
      <c r="D206" s="25" t="inlineStr">
        <is>
          <t>Functional</t>
        </is>
      </c>
      <c r="E206" s="25" t="inlineStr">
        <is>
          <t>DB Failure</t>
        </is>
      </c>
      <c r="F206" s="25" t="inlineStr">
        <is>
          <t>Corrupt one asset type then run a combined call</t>
        </is>
      </c>
      <c r="G206" s="25" t="inlineStr">
        <is>
          <t>DB-SEED</t>
        </is>
      </c>
      <c r="H206" s="25" t="inlineStr">
        <is>
          <t>Single</t>
        </is>
      </c>
      <c r="I206" s="25" t="inlineStr">
        <is>
          <t>Whole call rejected</t>
        </is>
      </c>
      <c r="J206" s="25" t="inlineStr">
        <is>
          <t>No part applied - a combined call must not partially succeed around a corrupt row</t>
        </is>
      </c>
      <c r="K206" s="25" t="inlineStr">
        <is>
          <t>P0</t>
        </is>
      </c>
      <c r="L206" s="25" t="inlineStr">
        <is>
          <t>core/transaction.go:70</t>
        </is>
      </c>
      <c r="M206" s="25" t="n"/>
      <c r="N206" s="25" t="n"/>
      <c r="O206" s="25" t="n"/>
      <c r="P206" s="26" t="inlineStr">
        <is>
          <t>IN SCOPE</t>
        </is>
      </c>
      <c r="Q206" s="25" t="n"/>
    </row>
    <row r="207" ht="34.5" customHeight="1" s="14">
      <c r="A207" s="25" t="inlineStr">
        <is>
          <t>CRS-CH-01</t>
        </is>
      </c>
      <c r="B207" s="25" t="inlineStr">
        <is>
          <t>Cross-Asset</t>
        </is>
      </c>
      <c r="C207" s="25" t="inlineStr">
        <is>
          <t>Code</t>
        </is>
      </c>
      <c r="D207" s="25" t="inlineStr">
        <is>
          <t>Functional</t>
        </is>
      </c>
      <c r="E207" s="25" t="inlineStr">
        <is>
          <t>Multi Hop</t>
        </is>
      </c>
      <c r="F207" s="25" t="inlineStr">
        <is>
          <t>Move RBT and an NFT together through five hops</t>
        </is>
      </c>
      <c r="G207" s="25" t="inlineStr">
        <is>
          <t>MULTI-NODE</t>
        </is>
      </c>
      <c r="H207" s="25" t="inlineStr">
        <is>
          <t>Fresh per hop</t>
        </is>
      </c>
      <c r="I207" s="25" t="inlineStr">
        <is>
          <t>All hops succeed</t>
        </is>
      </c>
      <c r="J207" s="25" t="inlineStr">
        <is>
          <t>Both asset types stay consistent at every hop</t>
        </is>
      </c>
      <c r="K207" s="25" t="inlineStr">
        <is>
          <t>P1</t>
        </is>
      </c>
      <c r="L207" s="25" t="n"/>
      <c r="M207" s="25" t="n"/>
      <c r="N207" s="25" t="n"/>
      <c r="O207" s="25" t="n"/>
      <c r="P207" s="26" t="inlineStr">
        <is>
          <t>MULTI-NODE - needs pinned roles across hops so the route is reproducible.</t>
        </is>
      </c>
      <c r="Q207" s="25" t="n"/>
    </row>
    <row r="208" ht="24" customHeight="1" s="14">
      <c r="A208" s="25" t="inlineStr">
        <is>
          <t>CRS-CH-02</t>
        </is>
      </c>
      <c r="B208" s="25" t="inlineStr">
        <is>
          <t>Cross-Asset</t>
        </is>
      </c>
      <c r="C208" s="25" t="inlineStr">
        <is>
          <t>Code</t>
        </is>
      </c>
      <c r="D208" s="25" t="inlineStr">
        <is>
          <t>Functional</t>
        </is>
      </c>
      <c r="E208" s="25" t="inlineStr">
        <is>
          <t>Multi Hop</t>
        </is>
      </c>
      <c r="F208" s="25" t="inlineStr">
        <is>
          <t>Same five hops using one quorum throughout</t>
        </is>
      </c>
      <c r="G208" s="25" t="inlineStr">
        <is>
          <t>MULTI-NODE</t>
        </is>
      </c>
      <c r="H208" s="25" t="inlineStr">
        <is>
          <t>Single</t>
        </is>
      </c>
      <c r="I208" s="25" t="inlineStr">
        <is>
          <t>All hops succeed</t>
        </is>
      </c>
      <c r="J208" s="25" t="inlineStr">
        <is>
          <t>Control for CRS-H-01 - pins a failure to quorum rotation rather than hop depth</t>
        </is>
      </c>
      <c r="K208" s="25" t="inlineStr">
        <is>
          <t>P1</t>
        </is>
      </c>
      <c r="L208" s="25" t="n"/>
      <c r="M208" s="25" t="n"/>
      <c r="N208" s="25" t="n"/>
      <c r="O208" s="25" t="n"/>
      <c r="P208" s="26" t="inlineStr">
        <is>
          <t>MULTI-NODE - needs pinned roles across hops so the route is reproducible.</t>
        </is>
      </c>
      <c r="Q208" s="25" t="n"/>
    </row>
    <row r="209" ht="24" customHeight="1" s="14">
      <c r="A209" s="25" t="inlineStr">
        <is>
          <t>GEN-Q-03</t>
        </is>
      </c>
      <c r="B209" s="25" t="inlineStr">
        <is>
          <t>General</t>
        </is>
      </c>
      <c r="C209" s="25" t="inlineStr">
        <is>
          <t>Code</t>
        </is>
      </c>
      <c r="D209" s="25" t="inlineStr">
        <is>
          <t>Functional</t>
        </is>
      </c>
      <c r="E209" s="25" t="inlineStr">
        <is>
          <t>Quorum</t>
        </is>
      </c>
      <c r="F209" s="25" t="inlineStr">
        <is>
          <t>Use a quorum node that is also sending its own tokens</t>
        </is>
      </c>
      <c r="G209" s="25" t="inlineStr">
        <is>
          <t>API</t>
        </is>
      </c>
      <c r="H209" s="25" t="inlineStr">
        <is>
          <t>Multi</t>
        </is>
      </c>
      <c r="I209" s="25" t="inlineStr">
        <is>
          <t>Both roles work</t>
        </is>
      </c>
      <c r="J209" s="25" t="inlineStr">
        <is>
          <t>No conflict between signing and transacting</t>
        </is>
      </c>
      <c r="K209" s="25" t="inlineStr">
        <is>
          <t>P1</t>
        </is>
      </c>
      <c r="L209" s="25" t="n"/>
      <c r="M209" s="25" t="n"/>
      <c r="N209" s="25" t="n"/>
      <c r="O209" s="25" t="n"/>
      <c r="P209" s="26" t="inlineStr">
        <is>
          <t>A quorum node that is also transacting its own tokens, while it signs for others. Verify all of it in one run: Both roles work at once. Repeat with the quorum moving RBT, FT, an NFT and a contract - the dual-role risk is the same in each. Also covers FT-Q-07, SC-Q-03, NFT-Q-03, and report each assertion separately.</t>
        </is>
      </c>
      <c r="Q209" s="25" t="n"/>
    </row>
    <row r="210" ht="34.5" customHeight="1" s="14">
      <c r="A210" s="25" t="inlineStr">
        <is>
          <t>GEN-Q-04</t>
        </is>
      </c>
      <c r="B210" s="25" t="inlineStr">
        <is>
          <t>General</t>
        </is>
      </c>
      <c r="C210" s="25" t="inlineStr">
        <is>
          <t>Code</t>
        </is>
      </c>
      <c r="D210" s="25" t="inlineStr">
        <is>
          <t>Functional</t>
        </is>
      </c>
      <c r="E210" s="25" t="inlineStr">
        <is>
          <t>Quorum</t>
        </is>
      </c>
      <c r="F210" s="25" t="inlineStr">
        <is>
          <t>Take a quorum offline during load</t>
        </is>
      </c>
      <c r="G210" s="25" t="inlineStr">
        <is>
          <t>NODE-KILL</t>
        </is>
      </c>
      <c r="H210" s="25" t="inlineStr">
        <is>
          <t>Multi</t>
        </is>
      </c>
      <c r="I210" s="25" t="inlineStr">
        <is>
          <t>Remaining quorums carry on</t>
        </is>
      </c>
      <c r="J210" s="25" t="inlineStr">
        <is>
          <t>In flight transfers end cleanly</t>
        </is>
      </c>
      <c r="K210" s="25" t="inlineStr">
        <is>
          <t>P0</t>
        </is>
      </c>
      <c r="L210" s="25" t="n"/>
      <c r="M210" s="25" t="n"/>
      <c r="N210" s="25" t="n"/>
      <c r="O210" s="25" t="n"/>
      <c r="P210" s="26" t="inlineStr">
        <is>
          <t>NODE-KILL - needs mid-operation kill orchestration the harness does not have yet (systemctl stop over SSH at a chosen moment). State exactly when to kill.</t>
        </is>
      </c>
      <c r="Q210" s="25" t="n"/>
    </row>
    <row r="211" ht="24" customHeight="1" s="14">
      <c r="A211" s="25" t="inlineStr">
        <is>
          <t>GEN-Q-06</t>
        </is>
      </c>
      <c r="B211" s="25" t="inlineStr">
        <is>
          <t>General</t>
        </is>
      </c>
      <c r="C211" s="25" t="inlineStr">
        <is>
          <t>Code</t>
        </is>
      </c>
      <c r="D211" s="25" t="inlineStr">
        <is>
          <t>Functional</t>
        </is>
      </c>
      <c r="E211" s="25" t="inlineStr">
        <is>
          <t>Quorum</t>
        </is>
      </c>
      <c r="F211" s="25" t="inlineStr">
        <is>
          <t>Send everything through one quorum on purpose</t>
        </is>
      </c>
      <c r="G211" s="25" t="inlineStr">
        <is>
          <t>API-RACE</t>
        </is>
      </c>
      <c r="H211" s="25" t="inlineStr">
        <is>
          <t>Single</t>
        </is>
      </c>
      <c r="I211" s="25" t="inlineStr">
        <is>
          <t>Find that quorum's node ceiling</t>
        </is>
      </c>
      <c r="J211" s="25" t="inlineStr">
        <is>
          <t>Worst case layout - the number to design around</t>
        </is>
      </c>
      <c r="K211" s="25" t="inlineStr">
        <is>
          <t>P0</t>
        </is>
      </c>
      <c r="L211" s="25" t="inlineStr">
        <is>
          <t>core/quorum_initiator.go:17</t>
        </is>
      </c>
      <c r="M211" s="25" t="n"/>
      <c r="N211" s="25" t="n"/>
      <c r="O211" s="25" t="n"/>
      <c r="P211" s="26" t="inlineStr">
        <is>
          <t>One capacity study: the same load through one quorum, then spread evenly, at several node counts. Verify all of it in one run: Produces the nodes-per-quorum versus time table, the single-quorum ceiling, and the improvement from spreading. Repeat across 1 quorum then spread, at 5, 10, 20, 40 nodes, and report each assertion separately so one failure cannot hide the others. Also covers GEN-Q-05, GEN-Q-07, GEN-Q-10, GEN-Q-13, GEN-Q-14.</t>
        </is>
      </c>
      <c r="Q211" s="25" t="n"/>
    </row>
    <row r="212" ht="15" customHeight="1" s="14">
      <c r="A212" s="25" t="inlineStr">
        <is>
          <t>GEN-Q-11</t>
        </is>
      </c>
      <c r="B212" s="25" t="inlineStr">
        <is>
          <t>General</t>
        </is>
      </c>
      <c r="C212" s="25" t="inlineStr">
        <is>
          <t>Code</t>
        </is>
      </c>
      <c r="D212" s="25" t="inlineStr">
        <is>
          <t>Functional</t>
        </is>
      </c>
      <c r="E212" s="25" t="inlineStr">
        <is>
          <t>Quorum</t>
        </is>
      </c>
      <c r="F212" s="25" t="inlineStr">
        <is>
          <t>Check the same quorum is picked every time by one sender</t>
        </is>
      </c>
      <c r="G212" s="25" t="inlineStr">
        <is>
          <t>API</t>
        </is>
      </c>
      <c r="H212" s="25" t="inlineStr">
        <is>
          <t>Multi</t>
        </is>
      </c>
      <c r="I212" s="25" t="inlineStr">
        <is>
          <t>Primary quorum should stay the same</t>
        </is>
      </c>
      <c r="J212" s="25" t="inlineStr">
        <is>
          <t>Query has no sort order so the pick may drift - verify before trusting groups</t>
        </is>
      </c>
      <c r="K212" s="25" t="inlineStr">
        <is>
          <t>P0</t>
        </is>
      </c>
      <c r="L212" s="25" t="inlineStr">
        <is>
          <t>core/wallet/quorum.go:68</t>
        </is>
      </c>
      <c r="M212" s="25" t="n"/>
      <c r="N212" s="25" t="n"/>
      <c r="O212" s="25" t="n"/>
      <c r="P212" s="26" t="inlineStr">
        <is>
          <t>Run 30 transfers from one sender and record the signer of each. Verify all of it in one run: Exactly one quorum signs each transfer; it is the same quorum every time; the load really is spread as configured. Tests the missing ORDER BY (core/wallet/quorum.go:66-69) directly. Repeat across 30 transfers from one sender, then repeat with 3 quorums registered, and report each assertion separately so one failure cannot hide the others. Also covers GEN-Q-09, GEN-Q-15.</t>
        </is>
      </c>
      <c r="Q212" s="25" t="n"/>
    </row>
    <row r="213" ht="34.5" customHeight="1" s="14">
      <c r="A213" s="25" t="inlineStr">
        <is>
          <t>GEN-Q-12</t>
        </is>
      </c>
      <c r="B213" s="25" t="inlineStr">
        <is>
          <t>General</t>
        </is>
      </c>
      <c r="C213" s="25" t="inlineStr">
        <is>
          <t>Code</t>
        </is>
      </c>
      <c r="D213" s="25" t="inlineStr">
        <is>
          <t>Functional</t>
        </is>
      </c>
      <c r="E213" s="25" t="inlineStr">
        <is>
          <t>Quorum</t>
        </is>
      </c>
      <c r="F213" s="25" t="inlineStr">
        <is>
          <t>Check the primary quorum survives a node restart</t>
        </is>
      </c>
      <c r="G213" s="25" t="inlineStr">
        <is>
          <t>NODE-KILL</t>
        </is>
      </c>
      <c r="H213" s="25" t="inlineStr">
        <is>
          <t>Multi</t>
        </is>
      </c>
      <c r="I213" s="25" t="inlineStr">
        <is>
          <t>Same quorum still picked after restart</t>
        </is>
      </c>
      <c r="J213" s="25" t="inlineStr">
        <is>
          <t>If it changes the group setup silently breaks</t>
        </is>
      </c>
      <c r="K213" s="25" t="inlineStr">
        <is>
          <t>P0</t>
        </is>
      </c>
      <c r="L213" s="25" t="inlineStr">
        <is>
          <t>core/wallet/quorum.go:68</t>
        </is>
      </c>
      <c r="M213" s="25" t="n"/>
      <c r="N213" s="25" t="n"/>
      <c r="O213" s="25" t="n"/>
      <c r="P213" s="26" t="inlineStr">
        <is>
          <t>Restart a quorum node, then transact through it again. Verify all of it in one run: The quorum signs again after the restart and the primary pick is unchanged. Repeat for an RBT transfer, an FT transfer, an NFT execute and a contract execute. Also covers SC-Q-05, FT-Q-09, NFT-Q-05, and report each assertion separately. (NODE-KILL)</t>
        </is>
      </c>
      <c r="Q213" s="25" t="n"/>
    </row>
    <row r="214" ht="15" customHeight="1" s="14">
      <c r="A214" s="25" t="inlineStr">
        <is>
          <t>GEN-CH-01</t>
        </is>
      </c>
      <c r="B214" s="25" t="inlineStr">
        <is>
          <t>General</t>
        </is>
      </c>
      <c r="C214" s="25" t="inlineStr">
        <is>
          <t>Code</t>
        </is>
      </c>
      <c r="D214" s="25" t="inlineStr">
        <is>
          <t>Functional</t>
        </is>
      </c>
      <c r="E214" s="25" t="inlineStr">
        <is>
          <t>Chain</t>
        </is>
      </c>
      <c r="F214" s="25" t="inlineStr">
        <is>
          <t>Move one token through 5 hops with quorum changing each time</t>
        </is>
      </c>
      <c r="G214" s="25" t="inlineStr">
        <is>
          <t>MULTI-NODE</t>
        </is>
      </c>
      <c r="H214" s="25" t="inlineStr">
        <is>
          <t>Fresh per hop</t>
        </is>
      </c>
      <c r="I214" s="25" t="inlineStr">
        <is>
          <t>All hops succeed</t>
        </is>
      </c>
      <c r="J214" s="25" t="inlineStr">
        <is>
          <t>Each hop links to the last; every fresh quorum syncs before signing</t>
        </is>
      </c>
      <c r="K214" s="25" t="inlineStr">
        <is>
          <t>P0</t>
        </is>
      </c>
      <c r="L214" s="25" t="inlineStr">
        <is>
          <t>core/consensus/checks.go:672</t>
        </is>
      </c>
      <c r="M214" s="25" t="n"/>
      <c r="N214" s="25" t="n"/>
      <c r="O214" s="25" t="n"/>
      <c r="P214" s="26" t="inlineStr">
        <is>
          <t>One token moved through 5 hops, then 20, with the quorum changing each hop. Verify all of it in one run: Every hop succeeds and the chain is intact at the end. GEN-CH-02 stays as the single-quorum control. Repeat across 5 hops, then 20, and report each assertion separately so one failure cannot hide the others. Also covers GEN-CH-03. (Original note: MULTI-NODE - needs pinned roles across hops so the route is reproducible.)</t>
        </is>
      </c>
      <c r="Q214" s="25" t="n"/>
    </row>
    <row r="215" ht="15" customHeight="1" s="14">
      <c r="A215" s="25" t="inlineStr">
        <is>
          <t>GEN-CH-02</t>
        </is>
      </c>
      <c r="B215" s="25" t="inlineStr">
        <is>
          <t>General</t>
        </is>
      </c>
      <c r="C215" s="25" t="inlineStr">
        <is>
          <t>Code</t>
        </is>
      </c>
      <c r="D215" s="25" t="inlineStr">
        <is>
          <t>Functional</t>
        </is>
      </c>
      <c r="E215" s="25" t="inlineStr">
        <is>
          <t>Chain</t>
        </is>
      </c>
      <c r="F215" s="25" t="inlineStr">
        <is>
          <t>Same 5 hops using one quorum throughout</t>
        </is>
      </c>
      <c r="G215" s="25" t="inlineStr">
        <is>
          <t>MULTI-NODE</t>
        </is>
      </c>
      <c r="H215" s="25" t="inlineStr">
        <is>
          <t>Single</t>
        </is>
      </c>
      <c r="I215" s="25" t="inlineStr">
        <is>
          <t>All hops succeed</t>
        </is>
      </c>
      <c r="J215" s="25" t="inlineStr">
        <is>
          <t>Control test to separate quorum issues from chain depth</t>
        </is>
      </c>
      <c r="K215" s="25" t="inlineStr">
        <is>
          <t>P0</t>
        </is>
      </c>
      <c r="L215" s="25" t="n"/>
      <c r="M215" s="25" t="n"/>
      <c r="N215" s="25" t="n"/>
      <c r="O215" s="25" t="n"/>
      <c r="P215" s="26" t="inlineStr">
        <is>
          <t>MULTI-NODE - needs pinned roles across hops so the route is reproducible.</t>
        </is>
      </c>
      <c r="Q215" s="25" t="n"/>
    </row>
    <row r="216" ht="15" customHeight="1" s="14">
      <c r="A216" s="25" t="inlineStr">
        <is>
          <t>GEN-CH-04</t>
        </is>
      </c>
      <c r="B216" s="25" t="inlineStr">
        <is>
          <t>General</t>
        </is>
      </c>
      <c r="C216" s="25" t="inlineStr">
        <is>
          <t>Code</t>
        </is>
      </c>
      <c r="D216" s="25" t="inlineStr">
        <is>
          <t>Functional</t>
        </is>
      </c>
      <c r="E216" s="25" t="inlineStr">
        <is>
          <t>Chain</t>
        </is>
      </c>
      <c r="F216" s="25" t="inlineStr">
        <is>
          <t>Send a token back to a node that owned it before</t>
        </is>
      </c>
      <c r="G216" s="25" t="inlineStr">
        <is>
          <t>MULTI-NODE</t>
        </is>
      </c>
      <c r="H216" s="25" t="inlineStr">
        <is>
          <t>Multi</t>
        </is>
      </c>
      <c r="I216" s="25" t="inlineStr">
        <is>
          <t>Succeeds</t>
        </is>
      </c>
      <c r="J216" s="25" t="inlineStr">
        <is>
          <t>Old and new history both stay valid</t>
        </is>
      </c>
      <c r="K216" s="25" t="inlineStr">
        <is>
          <t>P1</t>
        </is>
      </c>
      <c r="L216" s="25" t="n"/>
      <c r="M216" s="25" t="n"/>
      <c r="N216" s="25" t="n"/>
      <c r="O216" s="25" t="n"/>
      <c r="P216" s="26" t="inlineStr">
        <is>
          <t>MULTI-NODE - needs pinned roles across hops so the route is reproducible.</t>
        </is>
      </c>
      <c r="Q216" s="25" t="n"/>
    </row>
    <row r="217" ht="15" customHeight="1" s="14">
      <c r="A217" s="25" t="inlineStr">
        <is>
          <t>GEN-CH-05</t>
        </is>
      </c>
      <c r="B217" s="25" t="inlineStr">
        <is>
          <t>General</t>
        </is>
      </c>
      <c r="C217" s="25" t="inlineStr">
        <is>
          <t>Code</t>
        </is>
      </c>
      <c r="D217" s="25" t="inlineStr">
        <is>
          <t>Functional</t>
        </is>
      </c>
      <c r="E217" s="25" t="inlineStr">
        <is>
          <t>Chain</t>
        </is>
      </c>
      <c r="F217" s="25" t="inlineStr">
        <is>
          <t>Pause between hops with a node offline in between</t>
        </is>
      </c>
      <c r="G217" s="25" t="inlineStr">
        <is>
          <t>NODE-KILL</t>
        </is>
      </c>
      <c r="H217" s="25" t="inlineStr">
        <is>
          <t>Multi</t>
        </is>
      </c>
      <c r="I217" s="25" t="inlineStr">
        <is>
          <t>Next hop works after restart</t>
        </is>
      </c>
      <c r="J217" s="25" t="inlineStr">
        <is>
          <t>Node catches up on history before signing</t>
        </is>
      </c>
      <c r="K217" s="25" t="inlineStr">
        <is>
          <t>P1</t>
        </is>
      </c>
      <c r="L217" s="25" t="n"/>
      <c r="M217" s="25" t="n"/>
      <c r="N217" s="25" t="n"/>
      <c r="O217" s="25" t="n"/>
      <c r="P217" s="26" t="inlineStr">
        <is>
          <t>NODE-KILL - needs mid-operation kill orchestration the harness does not have yet (systemctl stop over SSH at a chosen moment). State exactly when to kill.</t>
        </is>
      </c>
      <c r="Q217" s="25" t="n"/>
    </row>
    <row r="218" ht="15" customHeight="1" s="14">
      <c r="A218" s="25" t="inlineStr">
        <is>
          <t>GEN-CH-07</t>
        </is>
      </c>
      <c r="B218" s="25" t="inlineStr">
        <is>
          <t>General</t>
        </is>
      </c>
      <c r="C218" s="25" t="inlineStr">
        <is>
          <t>Code</t>
        </is>
      </c>
      <c r="D218" s="25" t="inlineStr">
        <is>
          <t>Functional</t>
        </is>
      </c>
      <c r="E218" s="25" t="inlineStr">
        <is>
          <t>Chain</t>
        </is>
      </c>
      <c r="F218" s="25" t="inlineStr">
        <is>
          <t>Kill a node in the middle of a multi hop chain</t>
        </is>
      </c>
      <c r="G218" s="25" t="inlineStr">
        <is>
          <t>NODE-KILL</t>
        </is>
      </c>
      <c r="H218" s="25" t="inlineStr">
        <is>
          <t>Multi</t>
        </is>
      </c>
      <c r="I218" s="25" t="inlineStr">
        <is>
          <t>Token stays usable</t>
        </is>
      </c>
      <c r="J218" s="25" t="inlineStr">
        <is>
          <t>Not lost and not spendable twice; state recoverable</t>
        </is>
      </c>
      <c r="K218" s="25" t="inlineStr">
        <is>
          <t>P0</t>
        </is>
      </c>
      <c r="L218" s="25" t="n"/>
      <c r="M218" s="25" t="n"/>
      <c r="N218" s="25" t="n"/>
      <c r="O218" s="25" t="n"/>
      <c r="P218" s="26" t="inlineStr">
        <is>
          <t>NODE-KILL - needs mid-operation kill orchestration the harness does not have yet (systemctl stop over SSH at a chosen moment). State exactly when to kill.</t>
        </is>
      </c>
      <c r="Q218" s="25" t="n"/>
    </row>
    <row r="219" ht="15" customHeight="1" s="14">
      <c r="A219" s="25" t="inlineStr">
        <is>
          <t>GEN-CH-08</t>
        </is>
      </c>
      <c r="B219" s="25" t="inlineStr">
        <is>
          <t>General</t>
        </is>
      </c>
      <c r="C219" s="25" t="inlineStr">
        <is>
          <t>Code</t>
        </is>
      </c>
      <c r="D219" s="25" t="inlineStr">
        <is>
          <t>Functional</t>
        </is>
      </c>
      <c r="E219" s="25" t="inlineStr">
        <is>
          <t>Chain</t>
        </is>
      </c>
      <c r="F219" s="25" t="inlineStr">
        <is>
          <t>Run several multi hop chains at the same time</t>
        </is>
      </c>
      <c r="G219" s="25" t="inlineStr">
        <is>
          <t>API-RACE</t>
        </is>
      </c>
      <c r="H219" s="25" t="inlineStr">
        <is>
          <t>Multi</t>
        </is>
      </c>
      <c r="I219" s="25" t="inlineStr">
        <is>
          <t>All complete</t>
        </is>
      </c>
      <c r="J219" s="25" t="inlineStr">
        <is>
          <t>Chains do not interfere with each other</t>
        </is>
      </c>
      <c r="K219" s="25" t="inlineStr">
        <is>
          <t>P0</t>
        </is>
      </c>
      <c r="L219" s="25" t="n"/>
      <c r="M219" s="25" t="n"/>
      <c r="N219" s="25" t="n"/>
      <c r="O219" s="25" t="n"/>
      <c r="P219" s="26" t="inlineStr">
        <is>
          <t>OK - concurrency case. Assert per-request outcomes, not just an aggregate pass rate.</t>
        </is>
      </c>
      <c r="Q219" s="25" t="n"/>
    </row>
    <row r="220" ht="24" customHeight="1" s="14">
      <c r="A220" s="25" t="inlineStr">
        <is>
          <t>GEN-IN-01</t>
        </is>
      </c>
      <c r="B220" s="25" t="inlineStr">
        <is>
          <t>General</t>
        </is>
      </c>
      <c r="C220" s="25" t="inlineStr">
        <is>
          <t>Code</t>
        </is>
      </c>
      <c r="D220" s="25" t="inlineStr">
        <is>
          <t>Functional</t>
        </is>
      </c>
      <c r="E220" s="25" t="inlineStr">
        <is>
          <t>Integrity</t>
        </is>
      </c>
      <c r="F220" s="25" t="inlineStr">
        <is>
          <t>Add up all RBT across the fleet after a run</t>
        </is>
      </c>
      <c r="G220" s="25" t="inlineStr">
        <is>
          <t>API</t>
        </is>
      </c>
      <c r="H220" s="25" t="inlineStr">
        <is>
          <t>N/A</t>
        </is>
      </c>
      <c r="I220" s="25" t="inlineStr">
        <is>
          <t>Total matches what was minted</t>
        </is>
      </c>
      <c r="J220" s="25" t="inlineStr">
        <is>
          <t>Balances plus burnt equals minted exactly</t>
        </is>
      </c>
      <c r="K220" s="25" t="inlineStr">
        <is>
          <t>P0</t>
        </is>
      </c>
      <c r="L220" s="25" t="n"/>
      <c r="M220" s="25" t="n"/>
      <c r="N220" s="25" t="n"/>
      <c r="O220" s="25" t="n"/>
      <c r="P220" s="26" t="inlineStr">
        <is>
          <t>ONE end-of-cycle reconciliation across the fleet. Verify all of it in one run: RBT totals and FT counts per series reconcile against the faucet equation (out == in + committed + burnt_for_ft + still_pledged + still_locked), and every API balance matches the tokens table. Repeat across every cycle, and again after any failed run, and report each assertion separately so one failure cannot hide the others. Also covers GEN-IN-02, GEN-IN-05, RBT-IN-01, RBT-IN-03, FT-IN-01, FT-IN-03. (Original note: REWRITE - see RBT-IN-01; name the sinks.)</t>
        </is>
      </c>
      <c r="Q220" s="25" t="n"/>
    </row>
    <row r="221" ht="24" customHeight="1" s="14">
      <c r="A221" s="25" t="inlineStr">
        <is>
          <t>GEN-IN-03</t>
        </is>
      </c>
      <c r="B221" s="25" t="inlineStr">
        <is>
          <t>General</t>
        </is>
      </c>
      <c r="C221" s="25" t="inlineStr">
        <is>
          <t>Code</t>
        </is>
      </c>
      <c r="D221" s="25" t="inlineStr">
        <is>
          <t>Functional</t>
        </is>
      </c>
      <c r="E221" s="25" t="inlineStr">
        <is>
          <t>Integrity</t>
        </is>
      </c>
      <c r="F221" s="25" t="inlineStr">
        <is>
          <t>Check every successful transaction is on all nodes involved</t>
        </is>
      </c>
      <c r="G221" s="25" t="inlineStr">
        <is>
          <t>API</t>
        </is>
      </c>
      <c r="H221" s="25" t="inlineStr">
        <is>
          <t>N/A</t>
        </is>
      </c>
      <c r="I221" s="25" t="inlineStr">
        <is>
          <t>All present</t>
        </is>
      </c>
      <c r="J221" s="25" t="inlineStr">
        <is>
          <t>Sender and receiver both hold the record</t>
        </is>
      </c>
      <c r="K221" s="25" t="inlineStr">
        <is>
          <t>P0</t>
        </is>
      </c>
      <c r="L221" s="25" t="n"/>
      <c r="M221" s="25" t="n"/>
      <c r="N221" s="25" t="n"/>
      <c r="O221" s="25" t="n"/>
      <c r="P221" s="26" t="inlineStr">
        <is>
          <t>OK</t>
        </is>
      </c>
      <c r="Q221" s="25" t="n"/>
    </row>
    <row r="222" ht="15" customHeight="1" s="14">
      <c r="A222" s="25" t="inlineStr">
        <is>
          <t>GEN-IN-04</t>
        </is>
      </c>
      <c r="B222" s="25" t="inlineStr">
        <is>
          <t>General</t>
        </is>
      </c>
      <c r="C222" s="25" t="inlineStr">
        <is>
          <t>Code</t>
        </is>
      </c>
      <c r="D222" s="25" t="inlineStr">
        <is>
          <t>Functional</t>
        </is>
      </c>
      <c r="E222" s="25" t="inlineStr">
        <is>
          <t>Integrity</t>
        </is>
      </c>
      <c r="F222" s="25" t="inlineStr">
        <is>
          <t>Check no pledges are left open after a run</t>
        </is>
      </c>
      <c r="G222" s="25" t="inlineStr">
        <is>
          <t>API</t>
        </is>
      </c>
      <c r="H222" s="25" t="inlineStr">
        <is>
          <t>N/A</t>
        </is>
      </c>
      <c r="I222" s="25" t="inlineStr">
        <is>
          <t>All released</t>
        </is>
      </c>
      <c r="J222" s="25" t="inlineStr">
        <is>
          <t>Pledge tables clean</t>
        </is>
      </c>
      <c r="K222" s="25" t="inlineStr">
        <is>
          <t>P0</t>
        </is>
      </c>
      <c r="L222" s="25" t="inlineStr">
        <is>
          <t>core/unpledge_v2.go</t>
        </is>
      </c>
      <c r="M222" s="25" t="n"/>
      <c r="N222" s="25" t="n"/>
      <c r="O222" s="25" t="n"/>
      <c r="P222" s="26" t="inlineStr">
        <is>
          <t>OK - no pledge may remain open at the end of a cycle. This is also the precondition for returning the quorum's tokens to the faucet, so it is worth running every cycle.</t>
        </is>
      </c>
      <c r="Q222" s="25" t="n"/>
    </row>
    <row r="223" ht="15" customHeight="1" s="14">
      <c r="A223" s="25" t="inlineStr">
        <is>
          <t>GEN-IN-06</t>
        </is>
      </c>
      <c r="B223" s="25" t="inlineStr">
        <is>
          <t>General</t>
        </is>
      </c>
      <c r="C223" s="25" t="inlineStr">
        <is>
          <t>Code</t>
        </is>
      </c>
      <c r="D223" s="25" t="inlineStr">
        <is>
          <t>Functional</t>
        </is>
      </c>
      <c r="E223" s="25" t="inlineStr">
        <is>
          <t>Integrity</t>
        </is>
      </c>
      <c r="F223" s="25" t="inlineStr">
        <is>
          <t>Reconcile totals right after heavy parallel load</t>
        </is>
      </c>
      <c r="G223" s="25" t="inlineStr">
        <is>
          <t>API-RACE</t>
        </is>
      </c>
      <c r="H223" s="25" t="inlineStr">
        <is>
          <t>Multi</t>
        </is>
      </c>
      <c r="I223" s="25" t="inlineStr">
        <is>
          <t>Everything still adds up</t>
        </is>
      </c>
      <c r="J223" s="25" t="inlineStr">
        <is>
          <t>The load level that most threatens correctness</t>
        </is>
      </c>
      <c r="K223" s="25" t="inlineStr">
        <is>
          <t>P0</t>
        </is>
      </c>
      <c r="L223" s="25" t="n"/>
      <c r="M223" s="25" t="n"/>
      <c r="N223" s="25" t="n"/>
      <c r="O223" s="25" t="n"/>
      <c r="P223" s="26" t="inlineStr">
        <is>
          <t>OK - concurrency case. Assert per-request outcomes, not just an aggregate pass rate.</t>
        </is>
      </c>
      <c r="Q223" s="25" t="n"/>
    </row>
    <row r="224" ht="24" customHeight="1" s="14">
      <c r="A224" s="25" t="inlineStr">
        <is>
          <t>GEN-IN-07</t>
        </is>
      </c>
      <c r="B224" s="25" t="inlineStr">
        <is>
          <t>General</t>
        </is>
      </c>
      <c r="C224" s="25" t="inlineStr">
        <is>
          <t>Code</t>
        </is>
      </c>
      <c r="D224" s="25" t="inlineStr">
        <is>
          <t>Functional</t>
        </is>
      </c>
      <c r="E224" s="25" t="inlineStr">
        <is>
          <t>Integrity</t>
        </is>
      </c>
      <c r="F224" s="25" t="inlineStr">
        <is>
          <t>Reconcile after a node was killed and restarted</t>
        </is>
      </c>
      <c r="G224" s="25" t="inlineStr">
        <is>
          <t>NODE-KILL</t>
        </is>
      </c>
      <c r="H224" s="25" t="inlineStr">
        <is>
          <t>Multi</t>
        </is>
      </c>
      <c r="I224" s="25" t="inlineStr">
        <is>
          <t>Everything still adds up</t>
        </is>
      </c>
      <c r="J224" s="25" t="inlineStr">
        <is>
          <t>No value lost or duplicated by the restart</t>
        </is>
      </c>
      <c r="K224" s="25" t="inlineStr">
        <is>
          <t>P0</t>
        </is>
      </c>
      <c r="L224" s="25" t="n"/>
      <c r="M224" s="25" t="n"/>
      <c r="N224" s="25" t="n"/>
      <c r="O224" s="25" t="n"/>
      <c r="P224" s="26" t="inlineStr">
        <is>
          <t>NODE-KILL - needs mid-operation kill orchestration the harness does not have yet (systemctl stop over SSH at a chosen moment). State exactly when to kill.</t>
        </is>
      </c>
      <c r="Q224" s="25" t="n"/>
    </row>
    <row r="225" ht="15" customHeight="1" s="14">
      <c r="A225" s="25" t="inlineStr">
        <is>
          <t>GEN-IN-08</t>
        </is>
      </c>
      <c r="B225" s="25" t="inlineStr">
        <is>
          <t>General</t>
        </is>
      </c>
      <c r="C225" s="25" t="inlineStr">
        <is>
          <t>Code</t>
        </is>
      </c>
      <c r="D225" s="25" t="inlineStr">
        <is>
          <t>Functional</t>
        </is>
      </c>
      <c r="E225" s="25" t="inlineStr">
        <is>
          <t>Integrity</t>
        </is>
      </c>
      <c r="F225" s="25" t="inlineStr">
        <is>
          <t>Compare the denomination counter against the real free tokens</t>
        </is>
      </c>
      <c r="G225" s="25" t="inlineStr">
        <is>
          <t>API</t>
        </is>
      </c>
      <c r="H225" s="25" t="inlineStr">
        <is>
          <t>N/A</t>
        </is>
      </c>
      <c r="I225" s="25" t="inlineStr">
        <is>
          <t>Counter agrees at every denomination</t>
        </is>
      </c>
      <c r="J225" s="25" t="inlineStr">
        <is>
          <t>Reads token_denom against the tokens table; drift here breaks a later, unrelated transaction</t>
        </is>
      </c>
      <c r="K225" s="25" t="inlineStr">
        <is>
          <t>P0</t>
        </is>
      </c>
      <c r="L225" s="25" t="inlineStr">
        <is>
          <t>core/wallet/token_lock.go:505</t>
        </is>
      </c>
      <c r="M225" s="25" t="n"/>
      <c r="N225" s="25" t="inlineStr">
        <is>
          <t>master</t>
        </is>
      </c>
      <c r="O225" s="25" t="n"/>
      <c r="P225" s="26" t="inlineStr">
        <is>
          <t>ONE fleet sweep of table invariants. Verify all of it in one run: Counter agrees with real free tokens at every denomination; no phantom denom=0 row; no negative count; every free token has a chain row; no duplicate token id on a node. Repeat across every cycle, every host, and report each assertion separately so one failure cannot hide the others. Also covers GEN-IN-09, GEN-IN-12, GEN-IN-13, GEN-IN-14. (Original note: CAUTION - absolute drift. On a long-lived fleet this goes red forever against history. Prefer the delta form (see SC-Q-12) or run it only right after a wipe.)</t>
        </is>
      </c>
      <c r="Q225" s="25" t="n"/>
    </row>
    <row r="226" ht="34.5" customHeight="1" s="14">
      <c r="A226" s="25" t="inlineStr">
        <is>
          <t>GEN-IN-15</t>
        </is>
      </c>
      <c r="B226" s="25" t="inlineStr">
        <is>
          <t>General</t>
        </is>
      </c>
      <c r="C226" s="25" t="inlineStr">
        <is>
          <t>Code</t>
        </is>
      </c>
      <c r="D226" s="25" t="inlineStr">
        <is>
          <t>Functional</t>
        </is>
      </c>
      <c r="E226" s="25" t="inlineStr">
        <is>
          <t>Integrity</t>
        </is>
      </c>
      <c r="F226" s="25" t="inlineStr">
        <is>
          <t>Check no tokens are left locked anywhere on the fleet</t>
        </is>
      </c>
      <c r="G226" s="25" t="inlineStr">
        <is>
          <t>API</t>
        </is>
      </c>
      <c r="H226" s="25" t="inlineStr">
        <is>
          <t>Single</t>
        </is>
      </c>
      <c r="I226" s="25" t="inlineStr">
        <is>
          <t>No locked tokens on any host</t>
        </is>
      </c>
      <c r="J226" s="25" t="inlineStr">
        <is>
          <t>Locked is transient; anything still locked belongs to an operation that failed without releasing, and that value is stranded permanently</t>
        </is>
      </c>
      <c r="K226" s="25" t="inlineStr">
        <is>
          <t>P0</t>
        </is>
      </c>
      <c r="L226" s="25" t="inlineStr">
        <is>
          <t>core/transaction.go:70</t>
        </is>
      </c>
      <c r="M226" s="25" t="n"/>
      <c r="N226" s="25" t="inlineStr">
        <is>
          <t>master</t>
        </is>
      </c>
      <c r="O226" s="25" t="n"/>
      <c r="P226" s="26" t="inlineStr">
        <is>
          <t>ONE fleet sweep for value that is stuck. Verify all of it in one run: No tokens left Locked anywhere; no FT locks; no host holds Committed RBT without contracts to account for it. Repeat across every cycle, every host, and report each assertion separately so one failure cannot hide the others. Also covers GEN-IN-22, RBT-IN-02, FT-IN-02.</t>
        </is>
      </c>
      <c r="Q226" s="25" t="n"/>
    </row>
    <row r="227" ht="45.75" customHeight="1" s="14">
      <c r="A227" s="25" t="inlineStr">
        <is>
          <t>GEN-IN-16</t>
        </is>
      </c>
      <c r="B227" s="25" t="inlineStr">
        <is>
          <t>General</t>
        </is>
      </c>
      <c r="C227" s="25" t="inlineStr">
        <is>
          <t>Code</t>
        </is>
      </c>
      <c r="D227" s="25" t="inlineStr">
        <is>
          <t>Functional</t>
        </is>
      </c>
      <c r="E227" s="25" t="inlineStr">
        <is>
          <t>Integrity</t>
        </is>
      </c>
      <c r="F227" s="25" t="inlineStr">
        <is>
          <t>Reconcile every denomination across a single successful FT mint</t>
        </is>
      </c>
      <c r="G227" s="25" t="inlineStr">
        <is>
          <t>API</t>
        </is>
      </c>
      <c r="H227" s="25" t="inlineStr">
        <is>
          <t>Single</t>
        </is>
      </c>
      <c r="I227" s="25" t="inlineStr">
        <is>
          <t>Each denomination counter moves exactly as reality moves</t>
        </is>
      </c>
      <c r="J227" s="25" t="inlineStr">
        <is>
          <t>Names the denomination and both deltas; a counter moving LESS than reality is an under-decrement and it accumulates</t>
        </is>
      </c>
      <c r="K227" s="25" t="inlineStr">
        <is>
          <t>P0</t>
        </is>
      </c>
      <c r="L227" s="25" t="inlineStr">
        <is>
          <t>core/wallet/token_chain.go</t>
        </is>
      </c>
      <c r="M227" s="25" t="n"/>
      <c r="N227" s="25" t="inlineStr">
        <is>
          <t>master</t>
        </is>
      </c>
      <c r="O227" s="25" t="inlineStr">
        <is>
          <t>kept - core FTPARTS_DENOM_CONSISTENT covers one DID; this reconciles per denomination across the fleet</t>
        </is>
      </c>
      <c r="P227" s="26" t="inlineStr">
        <is>
          <t>ONE FT mint, with every denomination reconciled. Verify all of it in one run: Each counter moves exactly as the burn requires and no denomination drifts. Repeat across three mints of different sizes, and report each assertion separately so one failure cannot hide the others. Also covers GEN-IN-10.</t>
        </is>
      </c>
      <c r="Q227" s="25" t="n"/>
    </row>
    <row r="228" ht="34.5" customHeight="1" s="14">
      <c r="A228" s="25" t="inlineStr">
        <is>
          <t>GEN-IN-17</t>
        </is>
      </c>
      <c r="B228" s="25" t="inlineStr">
        <is>
          <t>General</t>
        </is>
      </c>
      <c r="C228" s="25" t="inlineStr">
        <is>
          <t>Code</t>
        </is>
      </c>
      <c r="D228" s="25" t="inlineStr">
        <is>
          <t>Functional</t>
        </is>
      </c>
      <c r="E228" s="25" t="inlineStr">
        <is>
          <t>Integrity</t>
        </is>
      </c>
      <c r="F228" s="25" t="inlineStr">
        <is>
          <t>Check a rejected FT mint leaves the counter untouched</t>
        </is>
      </c>
      <c r="G228" s="25" t="inlineStr">
        <is>
          <t>API</t>
        </is>
      </c>
      <c r="H228" s="25" t="inlineStr">
        <is>
          <t>Single</t>
        </is>
      </c>
      <c r="I228" s="25" t="inlineStr">
        <is>
          <t>Counter identical at every denomination after the rejection</t>
        </is>
      </c>
      <c r="J228" s="25" t="inlineStr">
        <is>
          <t>The sharpest test of the observed drift - a rejected operation that still moves the counter explains accumulation under load completely</t>
        </is>
      </c>
      <c r="K228" s="25" t="inlineStr">
        <is>
          <t>P0</t>
        </is>
      </c>
      <c r="L228" s="25" t="inlineStr">
        <is>
          <t>core/wallet/token_chain.go</t>
        </is>
      </c>
      <c r="M228" s="25" t="n"/>
      <c r="N228" s="25" t="inlineStr">
        <is>
          <t>master</t>
        </is>
      </c>
      <c r="O228" s="25" t="n"/>
      <c r="P228" s="26" t="inlineStr">
        <is>
          <t>OK</t>
        </is>
      </c>
      <c r="Q228" s="25" t="n"/>
    </row>
    <row r="229" ht="34.5" customHeight="1" s="14">
      <c r="A229" s="25" t="inlineStr">
        <is>
          <t>GEN-IN-18</t>
        </is>
      </c>
      <c r="B229" s="25" t="inlineStr">
        <is>
          <t>General</t>
        </is>
      </c>
      <c r="C229" s="25" t="inlineStr">
        <is>
          <t>Code</t>
        </is>
      </c>
      <c r="D229" s="25" t="inlineStr">
        <is>
          <t>Functional</t>
        </is>
      </c>
      <c r="E229" s="25" t="inlineStr">
        <is>
          <t>Integrity</t>
        </is>
      </c>
      <c r="F229" s="25" t="inlineStr">
        <is>
          <t>Reconcile every denomination across a single contract deploy</t>
        </is>
      </c>
      <c r="G229" s="25" t="inlineStr">
        <is>
          <t>API</t>
        </is>
      </c>
      <c r="H229" s="25" t="inlineStr">
        <is>
          <t>Single</t>
        </is>
      </c>
      <c r="I229" s="25" t="inlineStr">
        <is>
          <t>Each denomination counter moves exactly as reality moves</t>
        </is>
      </c>
      <c r="J229" s="25" t="inlineStr">
        <is>
          <t>Read with GEN-IN-16: mint only means the burn path, deploy only means the collateral path, both means something they share</t>
        </is>
      </c>
      <c r="K229" s="25" t="inlineStr">
        <is>
          <t>P0</t>
        </is>
      </c>
      <c r="L229" s="25" t="inlineStr">
        <is>
          <t>core/wallet/post_consensus_persistence.go</t>
        </is>
      </c>
      <c r="M229" s="25" t="n"/>
      <c r="N229" s="25" t="inlineStr">
        <is>
          <t>master</t>
        </is>
      </c>
      <c r="O229" s="25" t="n"/>
      <c r="P229" s="26" t="inlineStr">
        <is>
          <t>ONE valued deploy, with every denomination reconciled. Verify all of it in one run: Each counter moves exactly as the collateral requires and nothing drifts outside the collateral denomination. Repeat across three deploys at different values, and report each assertion separately so one failure cannot hide the others. Also covers GEN-IN-11.</t>
        </is>
      </c>
      <c r="Q229" s="25" t="n"/>
    </row>
    <row r="230" ht="57" customHeight="1" s="14">
      <c r="A230" s="25" t="inlineStr">
        <is>
          <t>GEN-IN-19</t>
        </is>
      </c>
      <c r="B230" s="25" t="inlineStr">
        <is>
          <t>General</t>
        </is>
      </c>
      <c r="C230" s="25" t="inlineStr">
        <is>
          <t>Code</t>
        </is>
      </c>
      <c r="D230" s="25" t="inlineStr">
        <is>
          <t>Functional</t>
        </is>
      </c>
      <c r="E230" s="25" t="inlineStr">
        <is>
          <t>Integrity</t>
        </is>
      </c>
      <c r="F230" s="25" t="inlineStr">
        <is>
          <t>Repeat one operation and record the drift after each round</t>
        </is>
      </c>
      <c r="G230" s="25" t="inlineStr">
        <is>
          <t>API</t>
        </is>
      </c>
      <c r="H230" s="25" t="inlineStr">
        <is>
          <t>Single</t>
        </is>
      </c>
      <c r="I230" s="25" t="inlineStr">
        <is>
          <t>No drift after any round</t>
        </is>
      </c>
      <c r="J230" s="25" t="inlineStr">
        <is>
          <t>Distinguishes per-operation drift (grows steadily) from conditional drift (appears at one round) - the two need different fixes</t>
        </is>
      </c>
      <c r="K230" s="25" t="inlineStr">
        <is>
          <t>P0</t>
        </is>
      </c>
      <c r="L230" s="25" t="inlineStr">
        <is>
          <t>core/wallet/token_chain.go</t>
        </is>
      </c>
      <c r="M230" s="25" t="n"/>
      <c r="N230" s="25" t="inlineStr">
        <is>
          <t>master</t>
        </is>
      </c>
      <c r="O230" s="25" t="n"/>
      <c r="P230" s="26" t="inlineStr">
        <is>
          <t>OK - repeat-and-measure is the right shape for drift.</t>
        </is>
      </c>
      <c r="Q230" s="25" t="n"/>
    </row>
    <row r="231" ht="24" customHeight="1" s="14">
      <c r="A231" s="25" t="inlineStr">
        <is>
          <t>GEN-IN-20</t>
        </is>
      </c>
      <c r="B231" s="25" t="inlineStr">
        <is>
          <t>General</t>
        </is>
      </c>
      <c r="C231" s="25" t="inlineStr">
        <is>
          <t>Code</t>
        </is>
      </c>
      <c r="D231" s="25" t="inlineStr">
        <is>
          <t>Functional</t>
        </is>
      </c>
      <c r="E231" s="25" t="inlineStr">
        <is>
          <t>Integrity</t>
        </is>
      </c>
      <c r="F231" s="25" t="inlineStr">
        <is>
          <t>Check a rejected transfer releases every lock it took</t>
        </is>
      </c>
      <c r="G231" s="25" t="inlineStr">
        <is>
          <t>API</t>
        </is>
      </c>
      <c r="H231" s="25" t="inlineStr">
        <is>
          <t>Single</t>
        </is>
      </c>
      <c r="I231" s="25" t="inlineStr">
        <is>
          <t>Locked count returns to its starting value</t>
        </is>
      </c>
      <c r="J231" s="25" t="inlineStr">
        <is>
          <t>Lock-release path. This is the mechanism behind the observed drift: locked tokens are still counted spendable, so counter and reality diverge by exactly the number stranded</t>
        </is>
      </c>
      <c r="K231" s="25" t="inlineStr">
        <is>
          <t>P0</t>
        </is>
      </c>
      <c r="L231" s="25" t="inlineStr">
        <is>
          <t>core/transaction.go:70</t>
        </is>
      </c>
      <c r="M231" s="25" t="n"/>
      <c r="N231" s="25" t="inlineStr">
        <is>
          <t>master</t>
        </is>
      </c>
      <c r="O231" s="25" t="n"/>
      <c r="P231" s="26" t="inlineStr">
        <is>
          <t>Fail one transfer, then fail ten in a row. Verify all of it in one run: The locked count returns to its starting value after the first, and never rises across the ten. Repeat across one failure, then ten in a row, and report each assertion separately so one failure cannot hide the others. Also covers GEN-IN-21.</t>
        </is>
      </c>
      <c r="Q231" s="25" t="n"/>
    </row>
    <row r="232" ht="34.5" customHeight="1" s="14">
      <c r="A232" s="25" t="inlineStr">
        <is>
          <t>GEN-IN-23</t>
        </is>
      </c>
      <c r="B232" s="25" t="inlineStr">
        <is>
          <t>General</t>
        </is>
      </c>
      <c r="C232" s="25" t="inlineStr">
        <is>
          <t>Code</t>
        </is>
      </c>
      <c r="D232" s="25" t="inlineStr">
        <is>
          <t>Functional</t>
        </is>
      </c>
      <c r="E232" s="25" t="inlineStr">
        <is>
          <t>Integrity</t>
        </is>
      </c>
      <c r="F232" s="25" t="inlineStr">
        <is>
          <t>Check a quorum counter decrements for every token it pledges</t>
        </is>
      </c>
      <c r="G232" s="25" t="inlineStr">
        <is>
          <t>API</t>
        </is>
      </c>
      <c r="H232" s="25" t="inlineStr">
        <is>
          <t>Single</t>
        </is>
      </c>
      <c r="I232" s="25" t="inlineStr">
        <is>
          <t>Quorum counter matches its real free tokens afterwards</t>
        </is>
      </c>
      <c r="J232" s="25" t="inlineStr">
        <is>
          <t>Pledge path. The counter over-states what the quorum can pledge, so it eventually fails for unrelated senders</t>
        </is>
      </c>
      <c r="K232" s="25" t="inlineStr">
        <is>
          <t>P0</t>
        </is>
      </c>
      <c r="L232" s="25" t="inlineStr">
        <is>
          <t>core/wallet/pledge.go:222</t>
        </is>
      </c>
      <c r="M232" s="25" t="n"/>
      <c r="N232" s="25" t="inlineStr">
        <is>
          <t>master</t>
        </is>
      </c>
      <c r="O232" s="25" t="n"/>
      <c r="P232" s="26" t="inlineStr">
        <is>
          <t>OK</t>
        </is>
      </c>
      <c r="Q232" s="25" t="n"/>
    </row>
    <row r="233" ht="45.75" customHeight="1" s="14">
      <c r="A233" s="25" t="inlineStr">
        <is>
          <t>GEN-IN-24</t>
        </is>
      </c>
      <c r="B233" s="25" t="inlineStr">
        <is>
          <t>General</t>
        </is>
      </c>
      <c r="C233" s="25" t="inlineStr">
        <is>
          <t>Code</t>
        </is>
      </c>
      <c r="D233" s="25" t="inlineStr">
        <is>
          <t>Functional</t>
        </is>
      </c>
      <c r="E233" s="25" t="inlineStr">
        <is>
          <t>Integrity</t>
        </is>
      </c>
      <c r="F233" s="25" t="inlineStr">
        <is>
          <t>Check a rejected FT mint releases every lock it took</t>
        </is>
      </c>
      <c r="G233" s="25" t="inlineStr">
        <is>
          <t>API</t>
        </is>
      </c>
      <c r="H233" s="25" t="inlineStr">
        <is>
          <t>Single</t>
        </is>
      </c>
      <c r="I233" s="25" t="inlineStr">
        <is>
          <t>Locked count returns to its starting value</t>
        </is>
      </c>
      <c r="J233" s="25" t="inlineStr">
        <is>
          <t>The twin of GEN-IN-20: rejected transfers leak nothing and the counter behaves, so a leak here pins the observed drift to the mint path specifically</t>
        </is>
      </c>
      <c r="K233" s="25" t="inlineStr">
        <is>
          <t>P0</t>
        </is>
      </c>
      <c r="L233" s="25" t="inlineStr">
        <is>
          <t>core/transaction.go:77</t>
        </is>
      </c>
      <c r="M233" s="25" t="n"/>
      <c r="N233" s="25" t="inlineStr">
        <is>
          <t>master</t>
        </is>
      </c>
      <c r="O233" s="25" t="n"/>
      <c r="P233" s="26" t="inlineStr">
        <is>
          <t>OK - the rejected-FT-mint lock leak. Pairs with GEN-IN-20 as the contrast.</t>
        </is>
      </c>
      <c r="Q233" s="25" t="n"/>
    </row>
    <row r="234" ht="34.5" customHeight="1" s="14">
      <c r="A234" s="25" t="inlineStr">
        <is>
          <t>GEN-IN-25</t>
        </is>
      </c>
      <c r="B234" s="25" t="inlineStr">
        <is>
          <t>General</t>
        </is>
      </c>
      <c r="C234" s="25" t="inlineStr">
        <is>
          <t>Code</t>
        </is>
      </c>
      <c r="D234" s="25" t="inlineStr">
        <is>
          <t>Functional</t>
        </is>
      </c>
      <c r="E234" s="25" t="inlineStr">
        <is>
          <t>Integrity</t>
        </is>
      </c>
      <c r="F234" s="25" t="inlineStr">
        <is>
          <t>Reconcile the faucet at the end of a cycle against every named sink</t>
        </is>
      </c>
      <c r="G234" s="25" t="inlineStr">
        <is>
          <t>API</t>
        </is>
      </c>
      <c r="H234" s="25" t="inlineStr">
        <is>
          <t>Multi</t>
        </is>
      </c>
      <c r="I234" s="25" t="inlineStr">
        <is>
          <t>faucet_out == faucet_in + committed + burnt_for_ft + still_pledged + still_locked</t>
        </is>
      </c>
      <c r="J234" s="25" t="n"/>
      <c r="K234" s="25" t="inlineStr">
        <is>
          <t>P0</t>
        </is>
      </c>
      <c r="L234" s="25" t="n"/>
      <c r="M234" s="25" t="n"/>
      <c r="N234" s="25" t="n"/>
      <c r="O234" s="25" t="n"/>
      <c r="P234" s="26" t="inlineStr">
        <is>
          <t>Strict conservation is wrong: Committed is terminal, BurntForFT leaves the RBT supply, and split parts never recombine. Name the sinks and assert the equation; any residual beyond them is a real leak. Run every cycle, and again after any failed run.</t>
        </is>
      </c>
      <c r="Q234" s="25" t="n"/>
    </row>
    <row r="235" ht="34.5" customHeight="1" s="14">
      <c r="A235" s="25" t="inlineStr">
        <is>
          <t>GEN-IN-26</t>
        </is>
      </c>
      <c r="B235" s="25" t="inlineStr">
        <is>
          <t>General</t>
        </is>
      </c>
      <c r="C235" s="25" t="inlineStr">
        <is>
          <t>Code</t>
        </is>
      </c>
      <c r="D235" s="25" t="inlineStr">
        <is>
          <t>Functional</t>
        </is>
      </c>
      <c r="E235" s="25" t="inlineStr">
        <is>
          <t>Integrity</t>
        </is>
      </c>
      <c r="F235" s="25" t="inlineStr">
        <is>
          <t>Record the faucet wallet's denomination shape every cycle</t>
        </is>
      </c>
      <c r="G235" s="25" t="inlineStr">
        <is>
          <t>API</t>
        </is>
      </c>
      <c r="H235" s="25" t="inlineStr">
        <is>
          <t>Multi</t>
        </is>
      </c>
      <c r="I235" s="25" t="inlineStr">
        <is>
          <t>Fragmentation is measured and its trend is visible</t>
        </is>
      </c>
      <c r="J235" s="25" t="n"/>
      <c r="K235" s="25" t="inlineStr">
        <is>
          <t>P1</t>
        </is>
      </c>
      <c r="L235" s="25" t="n"/>
      <c r="M235" s="25" t="n"/>
      <c r="N235" s="25" t="n"/>
      <c r="O235" s="25" t="n"/>
      <c r="P235" s="26" t="inlineStr">
        <is>
          <t>There is no merge or combine anywhere in core/, so splitting is one-way and the faucet fragments permanently. This is what tells you when it needs refreshing, before token selection slows down.</t>
        </is>
      </c>
      <c r="Q235" s="25" t="n"/>
    </row>
    <row r="236" ht="45.75" customHeight="1" s="14">
      <c r="A236" s="25" t="inlineStr">
        <is>
          <t>GEN-IN-27</t>
        </is>
      </c>
      <c r="B236" s="25" t="inlineStr">
        <is>
          <t>General</t>
        </is>
      </c>
      <c r="C236" s="25" t="inlineStr">
        <is>
          <t>Code</t>
        </is>
      </c>
      <c r="D236" s="25" t="inlineStr">
        <is>
          <t>Functional</t>
        </is>
      </c>
      <c r="E236" s="25" t="inlineStr">
        <is>
          <t>Integrity</t>
        </is>
      </c>
      <c r="F236" s="25" t="inlineStr">
        <is>
          <t>Two nodes request tokens from the faucet at the same moment</t>
        </is>
      </c>
      <c r="G236" s="25" t="inlineStr">
        <is>
          <t>API-RACE</t>
        </is>
      </c>
      <c r="H236" s="25" t="inlineStr">
        <is>
          <t>N/A</t>
        </is>
      </c>
      <c r="I236" s="25" t="inlineStr">
        <is>
          <t>Each receives a distinct token id range</t>
        </is>
      </c>
      <c r="J236" s="25" t="n"/>
      <c r="K236" s="25" t="inlineStr">
        <is>
          <t>P0</t>
        </is>
      </c>
      <c r="L236" s="25" t="inlineStr">
        <is>
          <t>core/token.go:388-420</t>
        </is>
      </c>
      <c r="M236" s="25" t="n"/>
      <c r="N236" s="25" t="n"/>
      <c r="O236" s="25" t="n"/>
      <c r="P236" s="26" t="inlineStr">
        <is>
          <t>The mint path does GET /api/current-token-value then POST /api/update-token-value with no locking between them. Duplicate ids across nodes are the collision class that breaks TokenChainIntigrityCheck once a shared quorum sees both.</t>
        </is>
      </c>
      <c r="Q236" s="25" t="n"/>
    </row>
    <row r="237" ht="34.5" customHeight="1" s="14">
      <c r="A237" s="25" t="inlineStr">
        <is>
          <t>GEN-IN-28</t>
        </is>
      </c>
      <c r="B237" s="25" t="inlineStr">
        <is>
          <t>General</t>
        </is>
      </c>
      <c r="C237" s="25" t="inlineStr">
        <is>
          <t>Code</t>
        </is>
      </c>
      <c r="D237" s="25" t="inlineStr">
        <is>
          <t>Functional</t>
        </is>
      </c>
      <c r="E237" s="25" t="inlineStr">
        <is>
          <t>Integrity</t>
        </is>
      </c>
      <c r="F237" s="25" t="inlineStr">
        <is>
          <t>Request tokens that cross a token level boundary</t>
        </is>
      </c>
      <c r="G237" s="25" t="inlineStr">
        <is>
          <t>API</t>
        </is>
      </c>
      <c r="H237" s="25" t="inlineStr">
        <is>
          <t>N/A</t>
        </is>
      </c>
      <c r="I237" s="25" t="inlineStr">
        <is>
          <t>The level rolls over and the tokens stay valid</t>
        </is>
      </c>
      <c r="J237" s="25" t="n"/>
      <c r="K237" s="25" t="inlineStr">
        <is>
          <t>P0</t>
        </is>
      </c>
      <c r="L237" s="25" t="inlineStr">
        <is>
          <t>core/token.go:334-338</t>
        </is>
      </c>
      <c r="M237" s="25" t="n"/>
      <c r="N237" s="25" t="n"/>
      <c r="O237" s="25" t="n"/>
      <c r="P237" s="26" t="inlineStr">
        <is>
          <t>The level rolls when a level fills, but the testnet minter table pins level 50001 exactly, so tokens beyond the first level fail the allowlist even from a legitimate faucet. Worth reporting upstream regardless of what our swarm does.</t>
        </is>
      </c>
      <c r="Q237" s="25" t="n"/>
    </row>
    <row r="238" ht="57" customHeight="1" s="14">
      <c r="A238" s="25" t="inlineStr">
        <is>
          <t>GEN-ND-01</t>
        </is>
      </c>
      <c r="B238" s="25" t="inlineStr">
        <is>
          <t>General</t>
        </is>
      </c>
      <c r="C238" s="25" t="inlineStr">
        <is>
          <t>Code</t>
        </is>
      </c>
      <c r="D238" s="25" t="inlineStr">
        <is>
          <t>Functional</t>
        </is>
      </c>
      <c r="E238" s="25" t="inlineStr">
        <is>
          <t>Node</t>
        </is>
      </c>
      <c r="F238" s="25" t="inlineStr">
        <is>
          <t>Restart a node and check it rejoins</t>
        </is>
      </c>
      <c r="G238" s="25" t="inlineStr">
        <is>
          <t>NODE-KILL</t>
        </is>
      </c>
      <c r="H238" s="25" t="inlineStr">
        <is>
          <t>N/A</t>
        </is>
      </c>
      <c r="I238" s="25" t="inlineStr">
        <is>
          <t>Comes back and syncs</t>
        </is>
      </c>
      <c r="J238" s="25" t="inlineStr">
        <is>
          <t>Peers reconnect; can transact again</t>
        </is>
      </c>
      <c r="K238" s="25" t="inlineStr">
        <is>
          <t>P0</t>
        </is>
      </c>
      <c r="L238" s="25" t="inlineStr">
        <is>
          <t>core/p2p_reconnect.go</t>
        </is>
      </c>
      <c r="M238" s="25" t="n"/>
      <c r="N238" s="25" t="n"/>
      <c r="O238" s="25" t="n"/>
      <c r="P238" s="26" t="inlineStr">
        <is>
          <t>NODE-KILL - needs mid-operation kill orchestration the harness does not have yet (systemctl stop over SSH at a chosen moment). State exactly when to kill.</t>
        </is>
      </c>
      <c r="Q238" s="25" t="n"/>
    </row>
    <row r="239" ht="57" customHeight="1" s="14">
      <c r="A239" s="25" t="inlineStr">
        <is>
          <t>GEN-ND-03</t>
        </is>
      </c>
      <c r="B239" s="25" t="inlineStr">
        <is>
          <t>General</t>
        </is>
      </c>
      <c r="C239" s="25" t="inlineStr">
        <is>
          <t>Code</t>
        </is>
      </c>
      <c r="D239" s="25" t="inlineStr">
        <is>
          <t>Functional</t>
        </is>
      </c>
      <c r="E239" s="25" t="inlineStr">
        <is>
          <t>Node</t>
        </is>
      </c>
      <c r="F239" s="25" t="inlineStr">
        <is>
          <t>Cut the network between two nodes then restore</t>
        </is>
      </c>
      <c r="G239" s="25" t="inlineStr">
        <is>
          <t>NODE-KILL</t>
        </is>
      </c>
      <c r="H239" s="25" t="inlineStr">
        <is>
          <t>Multi</t>
        </is>
      </c>
      <c r="I239" s="25" t="inlineStr">
        <is>
          <t>They reconnect and agree</t>
        </is>
      </c>
      <c r="J239" s="25" t="inlineStr">
        <is>
          <t>No split history</t>
        </is>
      </c>
      <c r="K239" s="25" t="inlineStr">
        <is>
          <t>P0</t>
        </is>
      </c>
      <c r="L239" s="25" t="inlineStr">
        <is>
          <t>core/p2p_reconnect.go</t>
        </is>
      </c>
      <c r="M239" s="25" t="n"/>
      <c r="N239" s="25" t="n"/>
      <c r="O239" s="25" t="n"/>
      <c r="P239" s="26" t="inlineStr">
        <is>
          <t>NODE-KILL - needs mid-operation kill orchestration the harness does not have yet (systemctl stop over SSH at a chosen moment). State exactly when to kill.</t>
        </is>
      </c>
      <c r="Q239" s="25" t="n"/>
    </row>
    <row r="240" ht="34.5" customHeight="1" s="14">
      <c r="A240" s="25" t="inlineStr">
        <is>
          <t>GEN-ND-04</t>
        </is>
      </c>
      <c r="B240" s="25" t="inlineStr">
        <is>
          <t>General</t>
        </is>
      </c>
      <c r="C240" s="25" t="inlineStr">
        <is>
          <t>Code</t>
        </is>
      </c>
      <c r="D240" s="25" t="inlineStr">
        <is>
          <t>Functional</t>
        </is>
      </c>
      <c r="E240" s="25" t="inlineStr">
        <is>
          <t>Node</t>
        </is>
      </c>
      <c r="F240" s="25" t="inlineStr">
        <is>
          <t>Restart the database under load</t>
        </is>
      </c>
      <c r="G240" s="25" t="inlineStr">
        <is>
          <t>NODE-KILL</t>
        </is>
      </c>
      <c r="H240" s="25" t="inlineStr">
        <is>
          <t>N/A</t>
        </is>
      </c>
      <c r="I240" s="25" t="inlineStr">
        <is>
          <t>Node reconnects</t>
        </is>
      </c>
      <c r="J240" s="25" t="inlineStr">
        <is>
          <t>No completed transaction lost</t>
        </is>
      </c>
      <c r="K240" s="25" t="inlineStr">
        <is>
          <t>P0</t>
        </is>
      </c>
      <c r="L240" s="25" t="inlineStr">
        <is>
          <t>core/connection_recovery.go</t>
        </is>
      </c>
      <c r="M240" s="25" t="n"/>
      <c r="N240" s="25" t="n"/>
      <c r="O240" s="25" t="n"/>
      <c r="P240" s="26" t="inlineStr">
        <is>
          <t>NODE-KILL - needs mid-operation kill orchestration the harness does not have yet (systemctl stop over SSH at a chosen moment). State exactly when to kill.</t>
        </is>
      </c>
      <c r="Q240" s="25" t="n"/>
    </row>
    <row r="241" ht="34.5" customHeight="1" s="14">
      <c r="A241" s="25" t="inlineStr">
        <is>
          <t>GEN-ND-05</t>
        </is>
      </c>
      <c r="B241" s="25" t="inlineStr">
        <is>
          <t>General</t>
        </is>
      </c>
      <c r="C241" s="25" t="inlineStr">
        <is>
          <t>Code</t>
        </is>
      </c>
      <c r="D241" s="25" t="inlineStr">
        <is>
          <t>Functional</t>
        </is>
      </c>
      <c r="E241" s="25" t="inlineStr">
        <is>
          <t>Node</t>
        </is>
      </c>
      <c r="F241" s="25" t="inlineStr">
        <is>
          <t>Update a node to a new build then keep testing</t>
        </is>
      </c>
      <c r="G241" s="25" t="inlineStr">
        <is>
          <t>API</t>
        </is>
      </c>
      <c r="H241" s="25" t="inlineStr">
        <is>
          <t>N/A</t>
        </is>
      </c>
      <c r="I241" s="25" t="inlineStr">
        <is>
          <t>Old data still works</t>
        </is>
      </c>
      <c r="J241" s="25" t="inlineStr">
        <is>
          <t>DIDs balances and history all survive</t>
        </is>
      </c>
      <c r="K241" s="25" t="inlineStr">
        <is>
          <t>P0</t>
        </is>
      </c>
      <c r="L241" s="25" t="n"/>
      <c r="M241" s="25" t="n"/>
      <c r="N241" s="25" t="n"/>
      <c r="O241" s="25" t="n"/>
      <c r="P241" s="26" t="inlineStr">
        <is>
          <t>Update part of the fleet to a new build and keep testing. Verify all of it in one run: Old data still works, pre-upgrade tokens are still transferable, and transfers work both ways across a mixed fleet. Record the build PER ROLE. Repeat across old build to new, then a mixed fleet both ways, and report each assertion separately so one failure cannot hide the others. Also covers GEN-ND-06, GEN-ND-07.</t>
        </is>
      </c>
      <c r="Q241" s="25" t="n"/>
    </row>
    <row r="242" ht="34.5" customHeight="1" s="14">
      <c r="A242" s="25" t="inlineStr">
        <is>
          <t>GEN-ND-08</t>
        </is>
      </c>
      <c r="B242" s="25" t="inlineStr">
        <is>
          <t>General</t>
        </is>
      </c>
      <c r="C242" s="25" t="inlineStr">
        <is>
          <t>Code</t>
        </is>
      </c>
      <c r="D242" s="25" t="inlineStr">
        <is>
          <t>Functional</t>
        </is>
      </c>
      <c r="E242" s="25" t="inlineStr">
        <is>
          <t>Node</t>
        </is>
      </c>
      <c r="F242" s="25" t="inlineStr">
        <is>
          <t>Put every role on one node: sender DID, receiver DID and quorum DID all local</t>
        </is>
      </c>
      <c r="G242" s="25" t="inlineStr">
        <is>
          <t>MULTI-NODE</t>
        </is>
      </c>
      <c r="H242" s="25" t="inlineStr">
        <is>
          <t>Single</t>
        </is>
      </c>
      <c r="I242" s="25" t="inlineStr">
        <is>
          <t>Transfers, deploys and pledging all work with no network hop</t>
        </is>
      </c>
      <c r="J242" s="25" t="n"/>
      <c r="K242" s="25" t="inlineStr">
        <is>
          <t>P0</t>
        </is>
      </c>
      <c r="L242" s="25" t="inlineStr">
        <is>
          <t>core/transaction.go:495-510</t>
        </is>
      </c>
      <c r="M242" s="25" t="n"/>
      <c r="N242" s="25" t="n"/>
      <c r="O242" s="25" t="n"/>
      <c r="P242" s="26" t="inlineStr">
        <is>
          <t>Needs a host tagged 'multidid'. This is the isLocalTransfer path, which a one-DID-per-node fleet never reaches. Verify the sender falls and the receiver rises on one node, token_denom is right for BOTH DIDs, and the quorum pledges then unpledges correctly - watching the arbitrary quorum-DID pick at core/fullnode.go:66-70. Also covers CRS-C-04 and CRS-C-05, blocked today for this same missing precondition.</t>
        </is>
      </c>
      <c r="Q242" s="25" t="n"/>
    </row>
    <row r="243" ht="34.5" customHeight="1" s="14">
      <c r="A243" s="25" t="inlineStr">
        <is>
          <t>GEN-ND-09</t>
        </is>
      </c>
      <c r="B243" s="25" t="inlineStr">
        <is>
          <t>General</t>
        </is>
      </c>
      <c r="C243" s="25" t="inlineStr">
        <is>
          <t>Code</t>
        </is>
      </c>
      <c r="D243" s="25" t="inlineStr">
        <is>
          <t>Functional</t>
        </is>
      </c>
      <c r="E243" s="25" t="inlineStr">
        <is>
          <t>Node</t>
        </is>
      </c>
      <c r="F243" s="25" t="inlineStr">
        <is>
          <t>Run several rubix nodes on one machine, with sender, receiver and quorum on different nodes of it</t>
        </is>
      </c>
      <c r="G243" s="25" t="inlineStr">
        <is>
          <t>MULTI-NODE</t>
        </is>
      </c>
      <c r="H243" s="25" t="inlineStr">
        <is>
          <t>Multi</t>
        </is>
      </c>
      <c r="I243" s="25" t="inlineStr">
        <is>
          <t>Behaves the same as those roles spread across machines</t>
        </is>
      </c>
      <c r="J243" s="25" t="n"/>
      <c r="K243" s="25" t="inlineStr">
        <is>
          <t>P1</t>
        </is>
      </c>
      <c r="L243" s="25" t="n"/>
      <c r="M243" s="25" t="n"/>
      <c r="N243" s="25" t="n"/>
      <c r="O243" s="25" t="n"/>
      <c r="P243" s="26" t="inlineStr">
        <is>
          <t>Each node needs its own port, node directory and Postgres container. Prove two things: the nodes stay isolated, with no shared state through the filesystem or a shared database, and token ids do not collide, since each node draws from its own counter. Compare timings against the same test across separate machines to separate contention from real behaviour.</t>
        </is>
      </c>
      <c r="Q243" s="25" t="n"/>
    </row>
    <row r="244" ht="34.5" customHeight="1" s="14">
      <c r="A244" s="25" t="inlineStr">
        <is>
          <t>GEN-DB-01</t>
        </is>
      </c>
      <c r="B244" s="25" t="inlineStr">
        <is>
          <t>General</t>
        </is>
      </c>
      <c r="C244" s="25" t="inlineStr">
        <is>
          <t>Code</t>
        </is>
      </c>
      <c r="D244" s="25" t="inlineStr">
        <is>
          <t>Functional</t>
        </is>
      </c>
      <c r="E244" s="25" t="inlineStr">
        <is>
          <t>DB Failure</t>
        </is>
      </c>
      <c r="F244" s="25" t="inlineStr">
        <is>
          <t>Mark a token as owned by the wrong DID then transfer</t>
        </is>
      </c>
      <c r="G244" s="25" t="inlineStr">
        <is>
          <t>DB-SEED</t>
        </is>
      </c>
      <c r="H244" s="25" t="inlineStr">
        <is>
          <t>Single</t>
        </is>
      </c>
      <c r="I244" s="25" t="inlineStr">
        <is>
          <t>Rejected</t>
        </is>
      </c>
      <c r="J244" s="25" t="inlineStr">
        <is>
          <t>Restore database after; error is about ownership</t>
        </is>
      </c>
      <c r="K244" s="25" t="inlineStr">
        <is>
          <t>P1</t>
        </is>
      </c>
      <c r="L244" s="25" t="inlineStr">
        <is>
          <t>core/consensus/checks.go:221</t>
        </is>
      </c>
      <c r="M244" s="25" t="n"/>
      <c r="N244" s="25" t="n"/>
      <c r="O244" s="25" t="n"/>
      <c r="P244" s="26" t="inlineStr">
        <is>
          <t>Mark a token as owned by the wrong DID, then transact with it. Verify all of it in one run: Rejected. Repeat for an RBT token and an NFT. Also covers RBT-DB-01, and report each assertion separately. (IN SCOPE (DB-SEED))</t>
        </is>
      </c>
      <c r="Q244" s="25" t="n"/>
    </row>
    <row r="245" ht="34.5" customHeight="1" s="14">
      <c r="A245" s="25" t="inlineStr">
        <is>
          <t>GEN-DB-02</t>
        </is>
      </c>
      <c r="B245" s="25" t="inlineStr">
        <is>
          <t>General</t>
        </is>
      </c>
      <c r="C245" s="25" t="inlineStr">
        <is>
          <t>Code</t>
        </is>
      </c>
      <c r="D245" s="25" t="inlineStr">
        <is>
          <t>Functional</t>
        </is>
      </c>
      <c r="E245" s="25" t="inlineStr">
        <is>
          <t>DB Failure</t>
        </is>
      </c>
      <c r="F245" s="25" t="inlineStr">
        <is>
          <t>Delete a chain row then transfer that token</t>
        </is>
      </c>
      <c r="G245" s="25" t="inlineStr">
        <is>
          <t>DB-SEED</t>
        </is>
      </c>
      <c r="H245" s="25" t="inlineStr">
        <is>
          <t>Single</t>
        </is>
      </c>
      <c r="I245" s="25" t="inlineStr">
        <is>
          <t>Rejected or repaired by sync</t>
        </is>
      </c>
      <c r="J245" s="25" t="inlineStr">
        <is>
          <t>Record which happens; restore after</t>
        </is>
      </c>
      <c r="K245" s="25" t="inlineStr">
        <is>
          <t>P1</t>
        </is>
      </c>
      <c r="L245" s="25" t="inlineStr">
        <is>
          <t>core/consensus/checks.go:672</t>
        </is>
      </c>
      <c r="M245" s="25" t="n"/>
      <c r="N245" s="25" t="n"/>
      <c r="O245" s="25" t="n"/>
      <c r="P245" s="26" t="inlineStr">
        <is>
          <t>Delete or break a chain row, then transact with that token. Verify all of it in one run: Rejected for chain mismatch, or repaired by sync - assert which, since a silent repair is itself a finding. Repeat for RBT, FT and a mid-chain break. Also covers RBT-DB-02, GEN-CH-06, FT-CH-04, and report each assertion separately. (IN SCOPE (DB-SEED))</t>
        </is>
      </c>
      <c r="Q245" s="25" t="n"/>
    </row>
    <row r="246" ht="45.75" customHeight="1" s="14">
      <c r="A246" s="25" t="inlineStr">
        <is>
          <t>GEN-DB-03</t>
        </is>
      </c>
      <c r="B246" s="25" t="inlineStr">
        <is>
          <t>General</t>
        </is>
      </c>
      <c r="C246" s="25" t="inlineStr">
        <is>
          <t>Code</t>
        </is>
      </c>
      <c r="D246" s="25" t="inlineStr">
        <is>
          <t>Functional</t>
        </is>
      </c>
      <c r="E246" s="25" t="inlineStr">
        <is>
          <t>DB Failure</t>
        </is>
      </c>
      <c r="F246" s="25" t="inlineStr">
        <is>
          <t>Leave a token stuck locked then try to use it</t>
        </is>
      </c>
      <c r="G246" s="25" t="inlineStr">
        <is>
          <t>DB-SEED</t>
        </is>
      </c>
      <c r="H246" s="25" t="inlineStr">
        <is>
          <t>Single</t>
        </is>
      </c>
      <c r="I246" s="25" t="inlineStr">
        <is>
          <t>Rejected as unavailable</t>
        </is>
      </c>
      <c r="J246" s="25" t="inlineStr">
        <is>
          <t>No silent double use; restore after</t>
        </is>
      </c>
      <c r="K246" s="25" t="inlineStr">
        <is>
          <t>P1</t>
        </is>
      </c>
      <c r="L246" s="25" t="inlineStr">
        <is>
          <t>core/wallet/token_lock.go</t>
        </is>
      </c>
      <c r="M246" s="25" t="n"/>
      <c r="N246" s="25" t="n"/>
      <c r="O246" s="25" t="n"/>
      <c r="P246" s="26" t="inlineStr">
        <is>
          <t>Leave a token stuck Locked, then try to use it. Verify all of it in one run: Rejected as unavailable. Repeat for RBT and FT. Also covers FT-DB-03, and report each assertion separately. (IN SCOPE (DB-SEED))</t>
        </is>
      </c>
      <c r="Q246" s="25" t="n"/>
    </row>
    <row r="247" ht="34.5" customHeight="1" s="14">
      <c r="A247" s="25" t="inlineStr">
        <is>
          <t>GEN-DB-04</t>
        </is>
      </c>
      <c r="B247" s="25" t="inlineStr">
        <is>
          <t>General</t>
        </is>
      </c>
      <c r="C247" s="25" t="inlineStr">
        <is>
          <t>Code</t>
        </is>
      </c>
      <c r="D247" s="25" t="inlineStr">
        <is>
          <t>Functional</t>
        </is>
      </c>
      <c r="E247" s="25" t="inlineStr">
        <is>
          <t>DB Failure</t>
        </is>
      </c>
      <c r="F247" s="25" t="inlineStr">
        <is>
          <t>Fill the database connection pool then transfer</t>
        </is>
      </c>
      <c r="G247" s="25" t="inlineStr">
        <is>
          <t>DB-SEED</t>
        </is>
      </c>
      <c r="H247" s="25" t="inlineStr">
        <is>
          <t>Single</t>
        </is>
      </c>
      <c r="I247" s="25" t="inlineStr">
        <is>
          <t>Waits or fails cleanly</t>
        </is>
      </c>
      <c r="J247" s="25" t="inlineStr">
        <is>
          <t>No corruption when the pool is full</t>
        </is>
      </c>
      <c r="K247" s="25" t="inlineStr">
        <is>
          <t>P0</t>
        </is>
      </c>
      <c r="L247" s="25" t="inlineStr">
        <is>
          <t>config/config.toml</t>
        </is>
      </c>
      <c r="M247" s="25" t="n"/>
      <c r="N247" s="25" t="n"/>
      <c r="O247" s="25" t="n"/>
      <c r="P247" s="26" t="inlineStr">
        <is>
          <t>IN SCOPE - pool exhaustion (max_connections=50, statement_timeout=20s).</t>
        </is>
      </c>
      <c r="Q247" s="25" t="n"/>
    </row>
    <row r="248" ht="45.75" customHeight="1" s="14">
      <c r="A248" s="25" t="inlineStr">
        <is>
          <t>GEN-B-01</t>
        </is>
      </c>
      <c r="B248" s="25" t="inlineStr">
        <is>
          <t>General</t>
        </is>
      </c>
      <c r="C248" s="25" t="inlineStr">
        <is>
          <t>Infra</t>
        </is>
      </c>
      <c r="D248" s="25" t="inlineStr">
        <is>
          <t>Performance</t>
        </is>
      </c>
      <c r="E248" s="25" t="inlineStr">
        <is>
          <t>Bulk</t>
        </is>
      </c>
      <c r="F248" s="25" t="inlineStr">
        <is>
          <t>Run all asset types under load at once</t>
        </is>
      </c>
      <c r="G248" s="25" t="inlineStr">
        <is>
          <t>API-RACE</t>
        </is>
      </c>
      <c r="H248" s="25" t="inlineStr">
        <is>
          <t>Multi</t>
        </is>
      </c>
      <c r="I248" s="25" t="inlineStr">
        <is>
          <t>All succeed</t>
        </is>
      </c>
      <c r="J248" s="25" t="inlineStr">
        <is>
          <t>Measure overall speed; everything reconciles</t>
        </is>
      </c>
      <c r="K248" s="25" t="inlineStr">
        <is>
          <t>P0</t>
        </is>
      </c>
      <c r="L248" s="25" t="n"/>
      <c r="M248" s="25" t="n"/>
      <c r="N248" s="25" t="n"/>
      <c r="O248" s="25" t="n"/>
      <c r="P248" s="26" t="inlineStr">
        <is>
          <t>OK - concurrency case. Assert per-request outcomes, not just an aggregate pass rate.</t>
        </is>
      </c>
      <c r="Q248" s="25" t="n"/>
    </row>
    <row r="249" ht="34.5" customHeight="1" s="14">
      <c r="A249" s="25" t="inlineStr">
        <is>
          <t>GEN-B-03</t>
        </is>
      </c>
      <c r="B249" s="25" t="inlineStr">
        <is>
          <t>General</t>
        </is>
      </c>
      <c r="C249" s="25" t="inlineStr">
        <is>
          <t>Infra</t>
        </is>
      </c>
      <c r="D249" s="25" t="inlineStr">
        <is>
          <t>Performance</t>
        </is>
      </c>
      <c r="E249" s="25" t="inlineStr">
        <is>
          <t>Bulk</t>
        </is>
      </c>
      <c r="F249" s="25" t="inlineStr">
        <is>
          <t>Run a long soak test overnight</t>
        </is>
      </c>
      <c r="G249" s="25" t="inlineStr">
        <is>
          <t>API-RACE</t>
        </is>
      </c>
      <c r="H249" s="25" t="inlineStr">
        <is>
          <t>Multi</t>
        </is>
      </c>
      <c r="I249" s="25" t="inlineStr">
        <is>
          <t>Stays stable</t>
        </is>
      </c>
      <c r="J249" s="25" t="inlineStr">
        <is>
          <t>No memory growth; no slowdown; totals exact</t>
        </is>
      </c>
      <c r="K249" s="25" t="inlineStr">
        <is>
          <t>P0</t>
        </is>
      </c>
      <c r="L249" s="25" t="inlineStr">
        <is>
          <t>core/resource_monitor.go</t>
        </is>
      </c>
      <c r="M249" s="25" t="n"/>
      <c r="N249" s="25" t="n"/>
      <c r="O249" s="25" t="n"/>
      <c r="P249" s="26" t="inlineStr">
        <is>
          <t>OK (record-only) - overnight soak; schedule outside a cycle.</t>
        </is>
      </c>
      <c r="Q249" s="25" t="n"/>
    </row>
    <row r="250" ht="34.5" customHeight="1" s="14">
      <c r="A250" s="25" t="inlineStr">
        <is>
          <t>GEN-B-06</t>
        </is>
      </c>
      <c r="B250" s="25" t="inlineStr">
        <is>
          <t>General</t>
        </is>
      </c>
      <c r="C250" s="25" t="inlineStr">
        <is>
          <t>Infra</t>
        </is>
      </c>
      <c r="D250" s="25" t="inlineStr">
        <is>
          <t>Performance</t>
        </is>
      </c>
      <c r="E250" s="25" t="inlineStr">
        <is>
          <t>Bulk</t>
        </is>
      </c>
      <c r="F250" s="25" t="inlineStr">
        <is>
          <t>High value transfer while the system is busy</t>
        </is>
      </c>
      <c r="G250" s="25" t="inlineStr">
        <is>
          <t>API-RACE</t>
        </is>
      </c>
      <c r="H250" s="25" t="inlineStr">
        <is>
          <t>Multi</t>
        </is>
      </c>
      <c r="I250" s="25" t="inlineStr">
        <is>
          <t>Succeeds</t>
        </is>
      </c>
      <c r="J250" s="25" t="inlineStr">
        <is>
          <t>Measure worst case time; value still exact</t>
        </is>
      </c>
      <c r="K250" s="25" t="inlineStr">
        <is>
          <t>P0</t>
        </is>
      </c>
      <c r="L250" s="25" t="n"/>
      <c r="M250" s="25" t="n"/>
      <c r="N250" s="25" t="n"/>
      <c r="O250" s="25" t="n"/>
      <c r="P250" s="26" t="inlineStr">
        <is>
          <t>OK - concurrency case. Assert per-request outcomes, not just an aggregate pass rate.</t>
        </is>
      </c>
      <c r="Q250" s="25" t="n"/>
    </row>
    <row r="251" ht="34.5" customHeight="1" s="14">
      <c r="A251" s="25" t="inlineStr">
        <is>
          <t>GEN-B-08</t>
        </is>
      </c>
      <c r="B251" s="25" t="inlineStr">
        <is>
          <t>General</t>
        </is>
      </c>
      <c r="C251" s="25" t="inlineStr">
        <is>
          <t>Infra</t>
        </is>
      </c>
      <c r="D251" s="25" t="inlineStr">
        <is>
          <t>Performance</t>
        </is>
      </c>
      <c r="E251" s="25" t="inlineStr">
        <is>
          <t>Bulk</t>
        </is>
      </c>
      <c r="F251" s="25" t="inlineStr">
        <is>
          <t>Build the value versus parallel count transaction time grid</t>
        </is>
      </c>
      <c r="G251" s="25" t="inlineStr">
        <is>
          <t>API-RACE</t>
        </is>
      </c>
      <c r="H251" s="25" t="inlineStr">
        <is>
          <t>Multi</t>
        </is>
      </c>
      <c r="I251" s="25" t="inlineStr">
        <is>
          <t>Produce the grid</t>
        </is>
      </c>
      <c r="J251" s="25" t="inlineStr">
        <is>
          <t>Cross small and large values against 1 to 200 parallel</t>
        </is>
      </c>
      <c r="K251" s="25" t="inlineStr">
        <is>
          <t>P0</t>
        </is>
      </c>
      <c r="L251" s="25" t="n"/>
      <c r="M251" s="25" t="n"/>
      <c r="N251" s="25" t="n"/>
      <c r="O251" s="25" t="n"/>
      <c r="P251" s="26" t="inlineStr">
        <is>
          <t>One grid: value versus parallel count versus quorum count, at 5/10/20/40 active nodes. Verify all of it in one run: Produces the full picture in one run instead of four partial ones. Repeat across the grid is the repetition, and report each assertion separately so one failure cannot hide the others. Also covers GEN-B-09, GEN-B-04.</t>
        </is>
      </c>
      <c r="Q251" s="25" t="n"/>
    </row>
    <row r="252" ht="34.5" customHeight="1" s="14">
      <c r="A252" s="25" t="inlineStr">
        <is>
          <t>GEN-B-10</t>
        </is>
      </c>
      <c r="B252" s="25" t="inlineStr">
        <is>
          <t>General</t>
        </is>
      </c>
      <c r="C252" s="25" t="inlineStr">
        <is>
          <t>Infra</t>
        </is>
      </c>
      <c r="D252" s="25" t="inlineStr">
        <is>
          <t>Performance</t>
        </is>
      </c>
      <c r="E252" s="25" t="inlineStr">
        <is>
          <t>Bulk</t>
        </is>
      </c>
      <c r="F252" s="25" t="inlineStr">
        <is>
          <t>Sudden jump from idle to full load</t>
        </is>
      </c>
      <c r="G252" s="25" t="inlineStr">
        <is>
          <t>API-RACE</t>
        </is>
      </c>
      <c r="H252" s="25" t="inlineStr">
        <is>
          <t>Multi</t>
        </is>
      </c>
      <c r="I252" s="25" t="inlineStr">
        <is>
          <t>Handles the spike or fails cleanly</t>
        </is>
      </c>
      <c r="J252" s="25" t="inlineStr">
        <is>
          <t>Measure recovery time after the spike</t>
        </is>
      </c>
      <c r="K252" s="25" t="inlineStr">
        <is>
          <t>P1</t>
        </is>
      </c>
      <c r="L252" s="25" t="n"/>
      <c r="M252" s="25" t="n"/>
      <c r="N252" s="25" t="n"/>
      <c r="O252" s="25" t="n"/>
      <c r="P252" s="26" t="inlineStr">
        <is>
          <t>OK - concurrency case. Assert per-request outcomes, not just an aggregate pass rate.</t>
        </is>
      </c>
      <c r="Q252" s="25" t="n"/>
    </row>
    <row r="253" ht="67.5" customHeight="1" s="14"/>
    <row r="254" ht="57" customHeight="1" s="14"/>
    <row r="255" ht="57" customHeight="1" s="14"/>
    <row r="256" ht="57" customHeight="1" s="14"/>
    <row r="257" ht="78.75" customHeight="1" s="14"/>
    <row r="258" ht="67.5" customHeight="1" s="14"/>
    <row r="259" ht="90" customHeight="1" s="14"/>
    <row r="260" ht="78.75" customHeight="1" s="14"/>
    <row r="261" ht="45.75" customHeight="1" s="14"/>
    <row r="262" ht="24" customHeight="1" s="14"/>
    <row r="263" ht="24" customHeight="1" s="14"/>
    <row r="264" ht="24" customHeight="1" s="14"/>
    <row r="265" ht="34.5" customHeight="1" s="14"/>
    <row r="266" ht="24" customHeight="1" s="14"/>
    <row r="267" ht="34.5" customHeight="1" s="14"/>
    <row r="268" ht="45.75" customHeight="1" s="14"/>
    <row r="269" ht="45.75" customHeight="1" s="14"/>
    <row r="270" ht="34.5" customHeight="1" s="14"/>
    <row r="271" ht="34.5" customHeight="1" s="14"/>
    <row r="272" ht="24" customHeight="1" s="14"/>
    <row r="273" ht="24" customHeight="1" s="14"/>
    <row r="274" ht="34.5" customHeight="1" s="14"/>
    <row r="275" ht="24" customHeight="1" s="14"/>
    <row r="276" ht="24" customHeight="1" s="14"/>
    <row r="277" ht="24" customHeight="1" s="14"/>
    <row r="278" ht="24" customHeight="1" s="14"/>
    <row r="279" ht="15" customHeight="1" s="14"/>
    <row r="280" ht="34.5" customHeight="1" s="14"/>
    <row r="281" ht="57" customHeight="1" s="14"/>
    <row r="282" ht="24" customHeight="1" s="14"/>
    <row r="283" ht="24" customHeight="1" s="14"/>
    <row r="284" ht="34.5" customHeight="1" s="14"/>
    <row r="285" ht="24" customHeight="1" s="14"/>
    <row r="286" ht="34.5" customHeight="1" s="14"/>
    <row r="287" ht="34.5" customHeight="1" s="14"/>
    <row r="288" ht="34.5" customHeight="1" s="14"/>
    <row r="289" ht="34.5" customHeight="1" s="14"/>
    <row r="290" ht="34.5" customHeight="1" s="14"/>
    <row r="291" ht="34.5" customHeight="1" s="14"/>
    <row r="292" ht="34.5" customHeight="1" s="14"/>
    <row r="293" ht="34.5" customHeight="1" s="14"/>
    <row r="294" ht="45.75" customHeight="1" s="14"/>
    <row r="295" ht="24" customHeight="1" s="14"/>
    <row r="296" ht="34.5" customHeight="1" s="14"/>
    <row r="297" ht="24" customHeight="1" s="14"/>
    <row r="298" ht="45.75" customHeight="1" s="14"/>
    <row r="299" ht="67.5" customHeight="1" s="14"/>
    <row r="300" ht="112.5" customHeight="1" s="14"/>
    <row r="301" ht="24" customHeight="1" s="14"/>
    <row r="302" ht="24" customHeight="1" s="14"/>
    <row r="303" ht="24" customHeight="1" s="14"/>
    <row r="304" ht="24" customHeight="1" s="14"/>
    <row r="305" ht="45.75" customHeight="1" s="14"/>
    <row r="306" ht="57" customHeight="1" s="14"/>
    <row r="307" ht="57" customHeight="1" s="14"/>
    <row r="308" ht="45.75" customHeight="1" s="14"/>
    <row r="309" ht="57" customHeight="1" s="14"/>
    <row r="310" ht="57" customHeight="1" s="14"/>
    <row r="311" ht="24" customHeight="1" s="14"/>
    <row r="312" ht="15" customHeight="1" s="14"/>
    <row r="313" ht="15" customHeight="1" s="14"/>
    <row r="314" ht="24" customHeight="1" s="14"/>
    <row r="315" ht="24" customHeight="1" s="14"/>
    <row r="316" ht="24" customHeight="1" s="14"/>
    <row r="317" ht="24" customHeight="1" s="14"/>
    <row r="318" ht="24" customHeight="1" s="14"/>
    <row r="319" ht="24" customHeight="1" s="14"/>
    <row r="320" ht="24" customHeight="1" s="14"/>
    <row r="321" ht="34.5" customHeight="1" s="14"/>
    <row r="322" ht="24" customHeight="1" s="14"/>
    <row r="323" ht="24" customHeight="1" s="14"/>
    <row r="324" ht="24" customHeight="1" s="14"/>
    <row r="325" ht="24" customHeight="1" s="14"/>
    <row r="326" ht="34.5" customHeight="1" s="14"/>
    <row r="327" ht="34.5" customHeight="1" s="14"/>
    <row r="328" ht="24" customHeight="1" s="14"/>
    <row r="329" ht="34.5" customHeight="1" s="14"/>
    <row r="330" ht="15" customHeight="1" s="14"/>
    <row r="331" ht="24" customHeight="1" s="14"/>
    <row r="332" ht="24" customHeight="1" s="14"/>
    <row r="333" ht="24" customHeight="1" s="14"/>
    <row r="334" ht="24" customHeight="1" s="14"/>
    <row r="335" ht="24" customHeight="1" s="14"/>
    <row r="336" ht="15" customHeight="1" s="14"/>
    <row r="337" ht="24" customHeight="1" s="14"/>
    <row r="338" ht="24" customHeight="1" s="14"/>
    <row r="339" ht="24" customHeight="1" s="14"/>
    <row r="340" ht="34.5" customHeight="1" s="14"/>
    <row r="341" ht="24" customHeight="1" s="14"/>
    <row r="342" ht="24" customHeight="1" s="14"/>
    <row r="343" ht="24" customHeight="1" s="14"/>
    <row r="344" ht="24" customHeight="1" s="14"/>
    <row r="345" ht="24" customHeight="1" s="14"/>
    <row r="346" ht="24" customHeight="1" s="14"/>
    <row r="347" ht="24" customHeight="1" s="14"/>
    <row r="348" ht="15" customHeight="1" s="14"/>
    <row r="349" ht="24" customHeight="1" s="14"/>
    <row r="350" ht="24" customHeight="1" s="14"/>
    <row r="351" ht="24" customHeight="1" s="14"/>
    <row r="352" ht="24" customHeight="1" s="14"/>
    <row r="353" ht="24" customHeight="1" s="14"/>
    <row r="354" ht="15" customHeight="1" s="14"/>
    <row r="355" ht="24" customHeight="1" s="14"/>
    <row r="356" ht="15" customHeight="1" s="14"/>
    <row r="357" ht="24" customHeight="1" s="14"/>
    <row r="358" ht="24" customHeight="1" s="14"/>
    <row r="359" ht="24" customHeight="1" s="14"/>
    <row r="360" ht="34.5" customHeight="1" s="14"/>
    <row r="361" ht="78.75" customHeight="1" s="14"/>
    <row r="362" ht="34.5" customHeight="1" s="14"/>
    <row r="363" ht="34.5" customHeight="1" s="14"/>
    <row r="364" ht="45.75" customHeight="1" s="14"/>
    <row r="365" ht="45.75" customHeight="1" s="14"/>
    <row r="366" ht="34.5" customHeight="1" s="14"/>
    <row r="367" ht="45.75" customHeight="1" s="14"/>
    <row r="368" ht="112.5" customHeight="1" s="14"/>
    <row r="369" ht="45.75" customHeight="1" s="14"/>
    <row r="370" ht="45.75" customHeight="1" s="14"/>
    <row r="371" ht="45.75" customHeight="1" s="14"/>
    <row r="372" ht="67.5" customHeight="1" s="14"/>
    <row r="373" ht="45.75" customHeight="1" s="14"/>
    <row r="374" ht="57" customHeight="1" s="14"/>
    <row r="375" ht="45.75" customHeight="1" s="14"/>
    <row r="376" ht="57" customHeight="1" s="14"/>
    <row r="377" ht="24" customHeight="1" s="14"/>
    <row r="378" ht="24" customHeight="1" s="14"/>
    <row r="379" ht="24" customHeight="1" s="14"/>
    <row r="380" ht="24" customHeight="1" s="14"/>
    <row r="381" ht="24" customHeight="1" s="14"/>
    <row r="382" ht="24" customHeight="1" s="14"/>
    <row r="383" ht="15" customHeight="1" s="14"/>
    <row r="384" ht="24" customHeight="1" s="14"/>
    <row r="385" ht="24" customHeight="1" s="14"/>
    <row r="386" ht="24" customHeight="1" s="14"/>
    <row r="387" ht="15" customHeight="1" s="14"/>
    <row r="388" ht="24" customHeight="1" s="14"/>
    <row r="389" ht="24" customHeight="1" s="14"/>
    <row r="390" ht="24" customHeight="1" s="14"/>
    <row r="391" ht="15" customHeight="1" s="14"/>
    <row r="392" ht="15" customHeight="1" s="14"/>
    <row r="393" ht="24" customHeight="1" s="14"/>
    <row r="394" ht="24" customHeight="1" s="14"/>
    <row r="395" ht="24" customHeight="1" s="14"/>
    <row r="396" ht="24" customHeight="1" s="14"/>
    <row r="397" ht="24" customHeight="1" s="14"/>
    <row r="398" ht="35" customHeight="1" s="14"/>
    <row r="399" ht="57" customHeight="1" s="14"/>
    <row r="400" ht="46" customHeight="1" s="14"/>
    <row r="401" ht="24" customHeight="1" s="14"/>
    <row r="402" ht="24" customHeight="1" s="14"/>
    <row r="403" ht="24" customHeight="1" s="14"/>
    <row r="404" ht="15" customHeight="1" s="14"/>
    <row r="405" ht="24" customHeight="1" s="14"/>
    <row r="406" ht="24" customHeight="1" s="14"/>
    <row r="407" ht="24" customHeight="1" s="14"/>
    <row r="408" ht="35" customHeight="1" s="14"/>
    <row r="409" ht="15" customHeight="1" s="14"/>
    <row r="410" ht="24" customHeight="1" s="14"/>
    <row r="411" ht="24" customHeight="1" s="14"/>
    <row r="412" ht="46" customHeight="1" s="14"/>
    <row r="413" ht="35" customHeight="1" s="14"/>
    <row r="414" ht="24" customHeight="1" s="14"/>
  </sheetData>
  <autoFilter ref="A1:Q25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84"/>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453125" defaultRowHeight="15" customHeight="0" zeroHeight="0" outlineLevelRow="0"/>
  <cols>
    <col width="18" customWidth="1" style="13" min="1" max="1"/>
    <col width="42" customWidth="1" style="13" min="2" max="2"/>
    <col width="10" customWidth="1" style="13" min="3" max="3"/>
    <col width="54" customWidth="1" style="13" min="4" max="4"/>
    <col width="76" customWidth="1" style="13" min="5" max="5"/>
    <col width="52" customWidth="1" style="13" min="6" max="6"/>
  </cols>
  <sheetData>
    <row r="1" ht="24" customHeight="1" s="14">
      <c r="A1" s="20" t="inlineStr">
        <is>
          <t>Case</t>
        </is>
      </c>
      <c r="B1" s="20" t="inlineStr">
        <is>
          <t>Also covers (delete those rows)</t>
        </is>
      </c>
      <c r="C1" s="20" t="inlineStr">
        <is>
          <t>Rows saved</t>
        </is>
      </c>
      <c r="D1" s="20" t="inlineStr">
        <is>
          <t>The operation</t>
        </is>
      </c>
      <c r="E1" s="20" t="inlineStr">
        <is>
          <t>Everything it verifies</t>
        </is>
      </c>
      <c r="F1" s="20" t="inlineStr">
        <is>
          <t>Repeat across</t>
        </is>
      </c>
    </row>
    <row r="2" ht="24" customHeight="1" s="14">
      <c r="A2" s="16" t="inlineStr">
        <is>
          <t>RBT-V-11</t>
        </is>
      </c>
      <c r="B2" s="16" t="inlineStr">
        <is>
          <t>RBT-V-06, RBT-V-07, RBT-V-08, RBT-V-09, RBT-V-10</t>
        </is>
      </c>
      <c r="C2" s="16" t="n">
        <v>5</v>
      </c>
      <c r="D2" s="16" t="inlineStr">
        <is>
          <t>One ladder run: 100, 1000, 10000, 100000, 200000.10, climbing until it fails</t>
        </is>
      </c>
      <c r="E2" s="16" t="inlineStr">
        <is>
          <t>Each rung succeeds and costs exactly its value; record the largest value that works and the quorum free balance needed for it.</t>
        </is>
      </c>
      <c r="F2" s="16" t="inlineStr">
        <is>
          <t>the ladder itself is the repetition: 100, 1000, 10000, 100000, 200000.10</t>
        </is>
      </c>
    </row>
    <row r="3" ht="15" customHeight="1" s="14">
      <c r="A3" s="16" t="inlineStr">
        <is>
          <t>RBT-V-15</t>
        </is>
      </c>
      <c r="B3" s="16" t="inlineStr">
        <is>
          <t>RBT-V-16</t>
        </is>
      </c>
      <c r="C3" s="16" t="n">
        <v>1</v>
      </c>
      <c r="D3" s="16" t="inlineStr">
        <is>
          <t>Send the exact balance, then one unit more</t>
        </is>
      </c>
      <c r="E3" s="16" t="inlineStr">
        <is>
          <t>Exact balance succeeds and leaves free at 0; one unit more is rejected and nothing is locked.</t>
        </is>
      </c>
      <c r="F3" s="16" t="inlineStr">
        <is>
          <t>three wallet shapes - whole tokens only, parts only, mixed</t>
        </is>
      </c>
    </row>
    <row r="4" ht="24" customHeight="1" s="14">
      <c r="A4" s="16" t="inlineStr">
        <is>
          <t>RBT-W-05</t>
        </is>
      </c>
      <c r="B4" s="16" t="inlineStr">
        <is>
          <t>RBT-W-06, RBT-W-07, RBT-W-08</t>
        </is>
      </c>
      <c r="C4" s="16" t="n">
        <v>3</v>
      </c>
      <c r="D4" s="16" t="inlineStr">
        <is>
          <t>Four sends from ONE prepared wallet, one per token-selection pass</t>
        </is>
      </c>
      <c r="E4" s="16" t="inlineStr">
        <is>
          <t>Exact single token, exact combination, several wholes combined, and no exact match: each succeeds and the note records which pass ran and whether a split occurred.</t>
        </is>
      </c>
      <c r="F4" s="16" t="inlineStr">
        <is>
          <t>four sends on the prepared wallet, one per selection pass</t>
        </is>
      </c>
    </row>
    <row r="5" ht="15" customHeight="1" s="14">
      <c r="A5" s="16" t="inlineStr">
        <is>
          <t>RBT-P-01</t>
        </is>
      </c>
      <c r="B5" s="16" t="inlineStr">
        <is>
          <t>RBT-P-05</t>
        </is>
      </c>
      <c r="C5" s="16" t="n">
        <v>1</v>
      </c>
      <c r="D5" s="16" t="inlineStr">
        <is>
          <t>Send 1, 2 and 3 decimal places, including a repeated 0.333</t>
        </is>
      </c>
      <c r="E5" s="16" t="inlineStr">
        <is>
          <t>All succeed and the denomination counter agrees with real free tokens afterwards.</t>
        </is>
      </c>
      <c r="F5" s="16" t="inlineStr">
        <is>
          <t>0.1, 0.05, 0.007, 0.333 repeated three times, and 0.999</t>
        </is>
      </c>
    </row>
    <row r="6" ht="24" customHeight="1" s="14">
      <c r="A6" s="16" t="inlineStr">
        <is>
          <t>RBT-Q-07</t>
        </is>
      </c>
      <c r="B6" s="16" t="inlineStr">
        <is>
          <t>RBT-Q-02, RBT-Q-03, RBT-Q-04, RBT-Q-05, RBT-Q-06</t>
        </is>
      </c>
      <c r="C6" s="16" t="n">
        <v>5</v>
      </c>
      <c r="D6" s="16" t="inlineStr">
        <is>
          <t>One ladder: 2, 5, 10, 20 then 40 senders sharing one quorum</t>
        </is>
      </c>
      <c r="E6" s="16" t="inlineStr">
        <is>
          <t>Record pass rate and time at each step; the node ceiling for one quorum is the output.</t>
        </is>
      </c>
      <c r="F6" s="16" t="inlineStr">
        <is>
          <t>2, 5, 10, 20, 40 senders</t>
        </is>
      </c>
    </row>
    <row r="7" ht="24" customHeight="1" s="14">
      <c r="A7" s="16" t="inlineStr">
        <is>
          <t>RBT-Q-10</t>
        </is>
      </c>
      <c r="B7" s="16" t="inlineStr">
        <is>
          <t>RBT-Q-08, RBT-Q-09, RBT-N-07, RBT-N-08, RBT-N-09, RBT-B-04</t>
        </is>
      </c>
      <c r="C7" s="16" t="n">
        <v>6</v>
      </c>
      <c r="D7" s="16" t="inlineStr">
        <is>
          <t>The same load spread over 2, 3, 5 then 10 quorums (one quorum registered per sender)</t>
        </is>
      </c>
      <c r="E7" s="16" t="inlineStr">
        <is>
          <t>Throughput improves with quorum count; record where it stops helping.</t>
        </is>
      </c>
      <c r="F7" s="16" t="inlineStr">
        <is>
          <t>2, 3, 5, 10 quorums at the same load</t>
        </is>
      </c>
    </row>
    <row r="8" ht="24" customHeight="1" s="14">
      <c r="A8" s="16" t="inlineStr">
        <is>
          <t>RBT-B-03</t>
        </is>
      </c>
      <c r="B8" s="16" t="inlineStr">
        <is>
          <t>RBT-N-02, RBT-N-03, RBT-N-04, RBT-N-05, RBT-N-06</t>
        </is>
      </c>
      <c r="C8" s="16" t="n">
        <v>5</v>
      </c>
      <c r="D8" s="16" t="inlineStr">
        <is>
          <t>One parallel ladder: 5, 25, 50, 100, 200 concurrent transfers through one quorum</t>
        </is>
      </c>
      <c r="E8" s="16" t="inlineStr">
        <is>
          <t>Pass rate and time per step; record the slowdown point and the failure point.</t>
        </is>
      </c>
      <c r="F8" s="16" t="inlineStr">
        <is>
          <t>5, 25, 50, 100, 200 concurrent</t>
        </is>
      </c>
    </row>
    <row r="9" ht="35" customHeight="1" s="14">
      <c r="A9" s="16" t="inlineStr">
        <is>
          <t>RBT-L-01</t>
        </is>
      </c>
      <c r="B9" s="16" t="inlineStr">
        <is>
          <t>RBT-L-02, RBT-Q-13</t>
        </is>
      </c>
      <c r="C9" s="16" t="n">
        <v>2</v>
      </c>
      <c r="D9" s="16" t="inlineStr">
        <is>
          <t>One transfer, watched from pledge through release</t>
        </is>
      </c>
      <c r="E9" s="16" t="inlineStr">
        <is>
          <t>Pledge is created; a spend of the pledged token is refused while it is pledged; the pledge is released after a later transaction; token returns to Free and token_denom is incremented; record the time to release.</t>
        </is>
      </c>
      <c r="F9" s="16" t="inlineStr">
        <is>
          <t>three transfers: a whole token, a part token, and a value needing a split</t>
        </is>
      </c>
    </row>
    <row r="10" ht="24" customHeight="1" s="14">
      <c r="A10" s="31" t="inlineStr">
        <is>
          <t>RBT-ND-01</t>
        </is>
      </c>
      <c r="B10" s="31" t="inlineStr">
        <is>
          <t>FT-ND-01, FT-ND-03, NFT-ND-01, NFT-ND-02, SC-ND-01, SC-ND-02, CRS-ND-01, RBT-ND-03</t>
        </is>
      </c>
      <c r="C10" s="31" t="n">
        <v>8</v>
      </c>
      <c r="D10" s="31" t="inlineStr">
        <is>
          <t>Transfer, restart the sender, transfer again using tokens created before the restart</t>
        </is>
      </c>
      <c r="E10" s="31" t="inlineStr">
        <is>
          <t>RBT transfer; FT mint from pre-restart tokens; NFT execute with its subscription intact; contract execute with its callback still firing; a combined call.</t>
        </is>
      </c>
      <c r="F10" s="31" t="inlineStr">
        <is>
          <t>restart between each of three transfers</t>
        </is>
      </c>
    </row>
    <row r="11" ht="24" customHeight="1" s="14">
      <c r="A11" s="16" t="inlineStr">
        <is>
          <t>FT-M-04</t>
        </is>
      </c>
      <c r="B11" s="16" t="inlineStr">
        <is>
          <t>FT-M-05</t>
        </is>
      </c>
      <c r="C11" s="16" t="n">
        <v>1</v>
      </c>
      <c r="D11" s="16" t="inlineStr">
        <is>
          <t>Mint 1000 FT from 1 RBT, then 1001 from 1 RBT</t>
        </is>
      </c>
      <c r="E11" s="16" t="inlineStr">
        <is>
          <t>1000 succeeds at the cap, 1001 is rejected (FTCount &lt;= TokenCount*1000, core/ft.go:65-72).</t>
        </is>
      </c>
      <c r="F11" s="16" t="inlineStr">
        <is>
          <t>at 1 RBT, 5 RBT and 10 RBT - the cap is per whole token, so test the ratio not one number</t>
        </is>
      </c>
    </row>
    <row r="12" ht="24" customHeight="1" s="14">
      <c r="A12" s="16" t="inlineStr">
        <is>
          <t>FT-M-08</t>
        </is>
      </c>
      <c r="B12" s="16" t="inlineStr">
        <is>
          <t>FT-M-06, FT-M-07</t>
        </is>
      </c>
      <c r="C12" s="16" t="n">
        <v>2</v>
      </c>
      <c r="D12" s="16" t="inlineStr">
        <is>
          <t>One mint-size ladder: 10000 from 10 RBT, 100000 from 100 RBT, climbing until it fails</t>
        </is>
      </c>
      <c r="E12" s="16" t="inlineStr">
        <is>
          <t>Record the largest mint that works and the time each took.</t>
        </is>
      </c>
      <c r="F12" s="16" t="inlineStr">
        <is>
          <t>10000 from 10 RBT, 100000 from 100 RBT, then climb</t>
        </is>
      </c>
    </row>
    <row r="13" ht="24" customHeight="1" s="14">
      <c r="A13" s="16" t="inlineStr">
        <is>
          <t>FT-M-09</t>
        </is>
      </c>
      <c r="B13" s="16" t="inlineStr">
        <is>
          <t>FT-M-10, FT-M-11, FT-M-12</t>
        </is>
      </c>
      <c r="C13" s="16" t="n">
        <v>3</v>
      </c>
      <c r="D13" s="16" t="inlineStr">
        <is>
          <t>Four invalid mint attempts in one case</t>
        </is>
      </c>
      <c r="E13" s="16" t="inlineStr">
        <is>
          <t>FT count &lt;= 0, RBT count &lt;= 0, insufficient RBT, and an invalid creator DID are each rejected with a distinct message.</t>
        </is>
      </c>
      <c r="F13" s="16" t="inlineStr">
        <is>
          <t>four invalid inputs in one run</t>
        </is>
      </c>
    </row>
    <row r="14" ht="24" customHeight="1" s="14">
      <c r="A14" s="16" t="inlineStr">
        <is>
          <t>FT-T-04</t>
        </is>
      </c>
      <c r="B14" s="16" t="inlineStr">
        <is>
          <t>FT-T-05, FT-T-06, FT-T-07, FT-T-08</t>
        </is>
      </c>
      <c r="C14" s="16" t="n">
        <v>4</v>
      </c>
      <c r="D14" s="16" t="inlineStr">
        <is>
          <t>Five invalid transfer attempts against one funded wallet</t>
        </is>
      </c>
      <c r="E14" s="16" t="inlineStr">
        <is>
          <t>Over-count, zero/negative, unknown series, misspelled name and wrong creator DID are each rejected; the wallet is unchanged afterwards.</t>
        </is>
      </c>
      <c r="F14" s="16" t="inlineStr">
        <is>
          <t>five invalid inputs in one run</t>
        </is>
      </c>
    </row>
    <row r="15" ht="24" customHeight="1" s="14">
      <c r="A15" s="16" t="inlineStr">
        <is>
          <t>FT-V-05</t>
        </is>
      </c>
      <c r="B15" s="16" t="inlineStr">
        <is>
          <t>FT-V-01, FT-V-02, FT-V-03, FT-V-04</t>
        </is>
      </c>
      <c r="C15" s="16" t="n">
        <v>4</v>
      </c>
      <c r="D15" s="16" t="inlineStr">
        <is>
          <t>One ladder: 100, 1000, 10000, 100000 FTs in a single transfer, climbing until it fails</t>
        </is>
      </c>
      <c r="E15" s="16" t="inlineStr">
        <is>
          <t>Record the largest count that transfers in one go.</t>
        </is>
      </c>
      <c r="F15" s="16" t="inlineStr">
        <is>
          <t>100, 1000, 10000, 100000 FTs</t>
        </is>
      </c>
    </row>
    <row r="16" ht="24" customHeight="1" s="14">
      <c r="A16" s="16" t="inlineStr">
        <is>
          <t>FT-Q-03</t>
        </is>
      </c>
      <c r="B16" s="16" t="inlineStr">
        <is>
          <t>FT-Q-01, FT-Q-02</t>
        </is>
      </c>
      <c r="C16" s="16" t="n">
        <v>2</v>
      </c>
      <c r="D16" s="16" t="inlineStr">
        <is>
          <t>One ladder: 5, 20 then 40 senders doing FT transfers through one quorum</t>
        </is>
      </c>
      <c r="E16" s="16" t="inlineStr">
        <is>
          <t>Pass rate and time per step.</t>
        </is>
      </c>
      <c r="F16" s="16" t="inlineStr">
        <is>
          <t>5, 20, 40 senders</t>
        </is>
      </c>
    </row>
    <row r="17" ht="24" customHeight="1" s="14">
      <c r="A17" s="16" t="inlineStr">
        <is>
          <t>FT-B-03</t>
        </is>
      </c>
      <c r="B17" s="16" t="inlineStr">
        <is>
          <t>FT-N-02, FT-N-03, FT-N-04</t>
        </is>
      </c>
      <c r="C17" s="16" t="n">
        <v>3</v>
      </c>
      <c r="D17" s="16" t="inlineStr">
        <is>
          <t>One parallel ladder: 10, 50, 200 concurrent FT transfers through one quorum</t>
        </is>
      </c>
      <c r="E17" s="16" t="inlineStr">
        <is>
          <t>Pass rate per step; record where it degrades.</t>
        </is>
      </c>
      <c r="F17" s="16" t="inlineStr">
        <is>
          <t>10, 50, 200 concurrent</t>
        </is>
      </c>
    </row>
    <row r="18" ht="24" customHeight="1" s="14">
      <c r="A18" s="16" t="inlineStr">
        <is>
          <t>FT-P-02</t>
        </is>
      </c>
      <c r="B18" s="16" t="inlineStr">
        <is>
          <t>FT-P-03, FT-P-10</t>
        </is>
      </c>
      <c r="C18" s="16" t="n">
        <v>2</v>
      </c>
      <c r="D18" s="16" t="inlineStr">
        <is>
          <t>ONE FT mint from a parts-only wallet</t>
        </is>
      </c>
      <c r="E18" s="16" t="inlineStr">
        <is>
          <t>Mint succeeds; free balance falls by exactly the RBT minted; every denomination counter moves exactly as the burn requires; no denom=0 row appears.</t>
        </is>
      </c>
      <c r="F18" s="16" t="inlineStr">
        <is>
          <t>three mints from the parts wallet: 1 RBT worth, 2 RBT worth, and one that needs several denominations</t>
        </is>
      </c>
    </row>
    <row r="19" ht="24" customHeight="1" s="14">
      <c r="A19" s="16" t="inlineStr">
        <is>
          <t>FT-P-06</t>
        </is>
      </c>
      <c r="B19" s="16" t="inlineStr">
        <is>
          <t>FT-P-09</t>
        </is>
      </c>
      <c r="C19" s="16" t="n">
        <v>1</v>
      </c>
      <c r="D19" s="16" t="inlineStr">
        <is>
          <t>Mint repeatedly until one denomination walks down to exactly zero</t>
        </is>
      </c>
      <c r="E19" s="16" t="inlineStr">
        <is>
          <t>The counter reaches zero, never goes negative, and still equals the real free tokens at every step.</t>
        </is>
      </c>
      <c r="F19" s="16" t="inlineStr">
        <is>
          <t>walk down 0.001, then 0.01, then 0.1 - each to zero</t>
        </is>
      </c>
    </row>
    <row r="20" ht="24" customHeight="1" s="14">
      <c r="A20" s="16" t="inlineStr">
        <is>
          <t>NFT-X-02</t>
        </is>
      </c>
      <c r="B20" s="16" t="inlineStr">
        <is>
          <t>NFT-X-03, NFT-X-04</t>
        </is>
      </c>
      <c r="C20" s="16" t="n">
        <v>2</v>
      </c>
      <c r="D20" s="16" t="inlineStr">
        <is>
          <t>Three invalid NFT transfers in one case</t>
        </is>
      </c>
      <c r="E20" s="16" t="inlineStr">
        <is>
          <t>Not the owner, owner unchanged, and never deployed are each rejected (core/consensus/checks.go:399-404).</t>
        </is>
      </c>
      <c r="F20" s="16" t="inlineStr">
        <is>
          <t>three invalid transfers in one run</t>
        </is>
      </c>
    </row>
    <row r="21" ht="24" customHeight="1" s="14">
      <c r="A21" s="16" t="inlineStr">
        <is>
          <t>NFT-C-02</t>
        </is>
      </c>
      <c r="B21" s="16" t="inlineStr">
        <is>
          <t>NFT-C-07, NFT-B-03, NFT-B-06</t>
        </is>
      </c>
      <c r="C21" s="16" t="n">
        <v>3</v>
      </c>
      <c r="D21" s="16" t="inlineStr">
        <is>
          <t>One child-mint ladder under a single parent: 1, 10, 100, then as large as it goes</t>
        </is>
      </c>
      <c r="E21" s="16" t="inlineStr">
        <is>
          <t>All children are created and fetchable; record the largest batch that works and the time per batch.</t>
        </is>
      </c>
      <c r="F21" s="16" t="inlineStr">
        <is>
          <t>1, 10, 100 children, then the largest batch that works</t>
        </is>
      </c>
    </row>
    <row r="22" ht="24" customHeight="1" s="14">
      <c r="A22" s="16" t="inlineStr">
        <is>
          <t>NFT-E-04</t>
        </is>
      </c>
      <c r="B22" s="16" t="inlineStr">
        <is>
          <t>NFT-B-04</t>
        </is>
      </c>
      <c r="C22" s="16" t="n">
        <v>1</v>
      </c>
      <c r="D22" s="16" t="inlineStr">
        <is>
          <t>Execute one NFT 50 times in a row</t>
        </is>
      </c>
      <c r="E22" s="16" t="inlineStr">
        <is>
          <t>All succeed; record execute time as the chain grows, so the slowdown is visible.</t>
        </is>
      </c>
      <c r="F22" s="16" t="inlineStr">
        <is>
          <t>50 executes, timing every tenth</t>
        </is>
      </c>
    </row>
    <row r="23" ht="15" customHeight="1" s="14">
      <c r="A23" s="16" t="inlineStr">
        <is>
          <t>NFT-B-02</t>
        </is>
      </c>
      <c r="B23" s="16" t="inlineStr">
        <is>
          <t>NFT-B-05, NFT-E-06</t>
        </is>
      </c>
      <c r="C23" s="16" t="n">
        <v>2</v>
      </c>
      <c r="D23" s="16" t="inlineStr">
        <is>
          <t>Execute NFTs at a high rate, 200 in parallel</t>
        </is>
      </c>
      <c r="E23" s="16" t="inlineStr">
        <is>
          <t>Record rate, pass rate and any failures.</t>
        </is>
      </c>
      <c r="F23" s="16" t="inlineStr">
        <is>
          <t>50, 100, 200 in parallel</t>
        </is>
      </c>
    </row>
    <row r="24" ht="15" customHeight="1" s="14">
      <c r="A24" s="16" t="inlineStr">
        <is>
          <t>NFT-IN-01</t>
        </is>
      </c>
      <c r="B24" s="16" t="inlineStr">
        <is>
          <t>NFT-IN-02, NFT-IN-03</t>
        </is>
      </c>
      <c r="C24" s="16" t="n">
        <v>2</v>
      </c>
      <c r="D24" s="16" t="inlineStr">
        <is>
          <t>One fleet sweep of NFT state</t>
        </is>
      </c>
      <c r="E24" s="16" t="inlineStr">
        <is>
          <t>Every NFT is owned by exactly one DID; chains agree across every node holding it; no duplicate NFT ids fleet-wide.</t>
        </is>
      </c>
      <c r="F24" s="16" t="inlineStr">
        <is>
          <t>one sweep, every host</t>
        </is>
      </c>
    </row>
    <row r="25" ht="24" customHeight="1" s="14">
      <c r="A25" s="16" t="inlineStr">
        <is>
          <t>SC-Q-06</t>
        </is>
      </c>
      <c r="B25" s="16" t="inlineStr">
        <is>
          <t>SC-Q-07, SC-Q-08, SC-Q-09</t>
        </is>
      </c>
      <c r="C25" s="16" t="n">
        <v>3</v>
      </c>
      <c r="D25" s="16" t="inlineStr">
        <is>
          <t>ONE valued deploy, read entirely from the quorum's side</t>
        </is>
      </c>
      <c r="E25" s="16" t="inlineStr">
        <is>
          <t>Pledged value equals the contract value; the quorum's denomination counter matches its real free tokens; the newly pledged rows cover the value; an unpledge row is queued naming the transaction.</t>
        </is>
      </c>
      <c r="F25" s="16" t="inlineStr">
        <is>
          <t>three deploys at different values: 0.001, a random fraction, and 1.0 - so the quorum side is proven at more than one value</t>
        </is>
      </c>
    </row>
    <row r="26" ht="15" customHeight="1" s="14">
      <c r="A26" s="16" t="inlineStr">
        <is>
          <t>SC-C-01</t>
        </is>
      </c>
      <c r="B26" s="16" t="inlineStr">
        <is>
          <t>SC-C-02, SC-C-08, SC-C-10, SC-C-20, SC-C-21, SC-C-22</t>
        </is>
      </c>
      <c r="C26" s="16" t="n">
        <v>6</v>
      </c>
      <c r="D26" s="16" t="inlineStr">
        <is>
          <t>ONE fractional-value deploy, with every table read before and after</t>
        </is>
      </c>
      <c r="E26" s="16" t="inlineStr">
        <is>
          <t>Costs exactly the value; committed total equals the value; change token exists as a row at the expected denomination; chain rows exist for the contract and every split child; the deploy appears in the transactions table.</t>
        </is>
      </c>
      <c r="F26" s="16" t="inlineStr">
        <is>
          <t>at least five values: 0.001, 0.007, a random fraction below 1, exactly 1.0, and a value above 1 - every assertion repeated at each</t>
        </is>
      </c>
    </row>
    <row r="27" ht="35" customHeight="1" s="14">
      <c r="A27" s="16" t="inlineStr">
        <is>
          <t>SC-C-13</t>
        </is>
      </c>
      <c r="B27" s="16" t="inlineStr">
        <is>
          <t>SC-C-03, SC-C-07, SC-C-19</t>
        </is>
      </c>
      <c r="C27" s="16" t="n">
        <v>3</v>
      </c>
      <c r="D27" s="16" t="inlineStr">
        <is>
          <t>The 13-value ladder, run consecutively from one wallet</t>
        </is>
      </c>
      <c r="E27" s="16" t="inlineStr">
        <is>
          <t>Every value costs exactly itself; twenty-plus consecutive deploys all succeed and the total equals the sum of the values.</t>
        </is>
      </c>
      <c r="F27" s="16" t="inlineStr">
        <is>
          <t>the 13-value ladder, then repeated once more on a re-shaped wallet</t>
        </is>
      </c>
    </row>
    <row r="28" ht="35" customHeight="1" s="14">
      <c r="A28" s="16" t="inlineStr">
        <is>
          <t>SC-C-27</t>
        </is>
      </c>
      <c r="B28" s="16" t="inlineStr">
        <is>
          <t>SC-C-31, SC-C-33</t>
        </is>
      </c>
      <c r="C28" s="16" t="n">
        <v>2</v>
      </c>
      <c r="D28" s="16" t="inlineStr">
        <is>
          <t>One wallet, three phases: a deploy that succeeds, a deploy that is rejected, then the same wallet re-read after a wait</t>
        </is>
      </c>
      <c r="E28" s="16" t="inlineStr">
        <is>
          <t>Success commits exactly the value; rejection leaves nothing locked and nothing committed; if anything was stranded, whether it is ever released. The lane already runs these in this order.</t>
        </is>
      </c>
      <c r="F28" s="16" t="inlineStr">
        <is>
          <t>two rejection causes, not one: out-pledging the quorum, and a value above the wallet's balance</t>
        </is>
      </c>
    </row>
    <row r="29" ht="24" customHeight="1" s="14">
      <c r="A29" s="16" t="inlineStr">
        <is>
          <t>SC-C-34</t>
        </is>
      </c>
      <c r="B29" s="16" t="inlineStr">
        <is>
          <t>SC-C-29, SC-C-32</t>
        </is>
      </c>
      <c r="C29" s="16" t="n">
        <v>2</v>
      </c>
      <c r="D29" s="16" t="inlineStr">
        <is>
          <t>Multi-contract in one request: N=1, N=2 binary-exact, N=2 inexact, N=3</t>
        </is>
      </c>
      <c r="E29" s="16" t="inlineStr">
        <is>
          <t>Where it starts failing and why - a per-value guard, the contract count, or accumulation on the summed amount.</t>
        </is>
      </c>
      <c r="F29" s="16" t="inlineStr">
        <is>
          <t>N=1, N=2 exact, N=2 inexact, N=3 exact, N=3 inexact</t>
        </is>
      </c>
    </row>
    <row r="30" ht="24" customHeight="1" s="14">
      <c r="A30" s="16" t="inlineStr">
        <is>
          <t>SC-S-04</t>
        </is>
      </c>
      <c r="B30" s="16" t="inlineStr">
        <is>
          <t>SC-S-02, SC-S-03, SC-S-05, SC-S-07, SC-S-09</t>
        </is>
      </c>
      <c r="C30" s="16" t="n">
        <v>5</v>
      </c>
      <c r="D30" s="16" t="inlineStr">
        <is>
          <t>One contract, subscribers joining at several depths, compared at the end</t>
        </is>
      </c>
      <c r="E30" s="16" t="inlineStr">
        <is>
          <t>Every subscriber holds the full chain including entries from before it joined; value, status and position are identical on every node, not just the chain length.</t>
        </is>
      </c>
      <c r="F30" s="16" t="inlineStr">
        <is>
          <t>subscribers joining at depth 0, 1, 5 and 20</t>
        </is>
      </c>
    </row>
    <row r="31" ht="24" customHeight="1" s="14">
      <c r="A31" s="16" t="inlineStr">
        <is>
          <t>SC-IN-01</t>
        </is>
      </c>
      <c r="B31" s="16" t="inlineStr">
        <is>
          <t>SC-IN-02</t>
        </is>
      </c>
      <c r="C31" s="16" t="n">
        <v>1</v>
      </c>
      <c r="D31" s="16" t="inlineStr">
        <is>
          <t>One sweep of deployed contracts</t>
        </is>
      </c>
      <c r="E31" s="16" t="inlineStr">
        <is>
          <t>Every contract is listed, has a chain, and the chain matches across subscribed nodes.</t>
        </is>
      </c>
      <c r="F31" s="16" t="inlineStr">
        <is>
          <t>one sweep after each cycle</t>
        </is>
      </c>
    </row>
    <row r="32" ht="24" customHeight="1" s="14">
      <c r="A32" s="16" t="inlineStr">
        <is>
          <t>SC-D-04</t>
        </is>
      </c>
      <c r="B32" s="16" t="inlineStr">
        <is>
          <t>SC-D-03</t>
        </is>
      </c>
      <c r="C32" s="16" t="n">
        <v>1</v>
      </c>
      <c r="D32" s="16" t="inlineStr">
        <is>
          <t>Deploy contracts of increasing size, plus one broken/oversized wasm</t>
        </is>
      </c>
      <c r="E32" s="16" t="inlineStr">
        <is>
          <t>Find the practical size limit; the broken file is rejected cleanly rather than with a raw 500.</t>
        </is>
      </c>
      <c r="F32" s="16" t="inlineStr">
        <is>
          <t>sizes climbing until refused, plus one truncated and one non-wasm file</t>
        </is>
      </c>
    </row>
    <row r="33" ht="15" customHeight="1" s="14">
      <c r="A33" s="16" t="inlineStr">
        <is>
          <t>SC-B-02</t>
        </is>
      </c>
      <c r="B33" s="16" t="inlineStr">
        <is>
          <t>SC-B-03</t>
        </is>
      </c>
      <c r="C33" s="16" t="n">
        <v>1</v>
      </c>
      <c r="D33" s="16" t="inlineStr">
        <is>
          <t>Execute contracts at a high rate, 200 in parallel</t>
        </is>
      </c>
      <c r="E33" s="16" t="inlineStr">
        <is>
          <t>Record rate and any failures.</t>
        </is>
      </c>
      <c r="F33" s="16" t="inlineStr">
        <is>
          <t>50, 100, 200 in parallel</t>
        </is>
      </c>
    </row>
    <row r="34" ht="24" customHeight="1" s="14">
      <c r="A34" s="16" t="inlineStr">
        <is>
          <t>CRS-07</t>
        </is>
      </c>
      <c r="B34" s="16" t="inlineStr">
        <is>
          <t>CRS-08, CRS-09</t>
        </is>
      </c>
      <c r="C34" s="16" t="n">
        <v>2</v>
      </c>
      <c r="D34" s="16" t="inlineStr">
        <is>
          <t>Three NFT-deploy combinations in one case: with RBT, with FT, with a contract</t>
        </is>
      </c>
      <c r="E34" s="16" t="inlineStr">
        <is>
          <t>All three rejected by the same guard (core/transaction_builder.go:432-435).</t>
        </is>
      </c>
      <c r="F34" s="16" t="inlineStr">
        <is>
          <t>three combinations in one run</t>
        </is>
      </c>
    </row>
    <row r="35" ht="15" customHeight="1" s="14">
      <c r="A35" s="16" t="inlineStr">
        <is>
          <t>CRS-C-03</t>
        </is>
      </c>
      <c r="B35" s="16" t="inlineStr">
        <is>
          <t>CRS-C-07</t>
        </is>
      </c>
      <c r="C35" s="16" t="n">
        <v>1</v>
      </c>
      <c r="D35" s="16" t="inlineStr">
        <is>
          <t>ONE bundled deploy-plus-transfer, read from the receiver's node</t>
        </is>
      </c>
      <c r="E35" s="16" t="inlineStr">
        <is>
          <t>Receiver's free value rises by the transfer only; the collateral appears nowhere in the receiver's tokens or token_denom; the initiator holds it as Committed.</t>
        </is>
      </c>
      <c r="F35" s="16" t="inlineStr">
        <is>
          <t>two different contract values, so the receiver's excess can be shown to track the collateral</t>
        </is>
      </c>
    </row>
    <row r="36" ht="15" customHeight="1" s="14">
      <c r="A36" s="16" t="inlineStr">
        <is>
          <t>CRS-B-02</t>
        </is>
      </c>
      <c r="B36" s="16" t="inlineStr">
        <is>
          <t>CRS-11, CRS-12, CRS-B-03</t>
        </is>
      </c>
      <c r="C36" s="16" t="n">
        <v>3</v>
      </c>
      <c r="D36" s="16" t="inlineStr">
        <is>
          <t>Combined calls under load: 100 in parallel, mixed with single-asset calls</t>
        </is>
      </c>
      <c r="E36" s="16" t="inlineStr">
        <is>
          <t>Record rate, pass rate and whether mixing changes the behaviour.</t>
        </is>
      </c>
      <c r="F36" s="16" t="inlineStr">
        <is>
          <t>25, 50, 100 combined calls in parallel</t>
        </is>
      </c>
    </row>
    <row r="37" ht="24" customHeight="1" s="14">
      <c r="A37" s="16" t="inlineStr">
        <is>
          <t>GEN-Q-11</t>
        </is>
      </c>
      <c r="B37" s="16" t="inlineStr">
        <is>
          <t>GEN-Q-09, GEN-Q-15</t>
        </is>
      </c>
      <c r="C37" s="16" t="n">
        <v>2</v>
      </c>
      <c r="D37" s="16" t="inlineStr">
        <is>
          <t>Run 30 transfers from one sender and record the signer of each</t>
        </is>
      </c>
      <c r="E37" s="16" t="inlineStr">
        <is>
          <t>Exactly one quorum signs each transfer; it is the same quorum every time; the load really is spread as configured. Tests the missing ORDER BY (core/wallet/quorum.go:66-69) directly.</t>
        </is>
      </c>
      <c r="F37" s="16" t="inlineStr">
        <is>
          <t>30 transfers from one sender, then repeat with 3 quorums registered</t>
        </is>
      </c>
    </row>
    <row r="38" ht="24" customHeight="1" s="14">
      <c r="A38" s="16" t="inlineStr">
        <is>
          <t>GEN-Q-06</t>
        </is>
      </c>
      <c r="B38" s="16" t="inlineStr">
        <is>
          <t>GEN-Q-05, GEN-Q-07, GEN-Q-10, GEN-Q-13, GEN-Q-14</t>
        </is>
      </c>
      <c r="C38" s="16" t="n">
        <v>5</v>
      </c>
      <c r="D38" s="16" t="inlineStr">
        <is>
          <t>One capacity study: the same load through one quorum, then spread evenly, at several node counts</t>
        </is>
      </c>
      <c r="E38" s="16" t="inlineStr">
        <is>
          <t>Produces the nodes-per-quorum versus time table, the single-quorum ceiling, and the improvement from spreading.</t>
        </is>
      </c>
      <c r="F38" s="16" t="inlineStr">
        <is>
          <t>1 quorum then spread, at 5, 10, 20, 40 nodes</t>
        </is>
      </c>
    </row>
    <row r="39" ht="24" customHeight="1" s="14">
      <c r="A39" s="16" t="inlineStr">
        <is>
          <t>GEN-IN-01</t>
        </is>
      </c>
      <c r="B39" s="16" t="inlineStr">
        <is>
          <t>GEN-IN-02, GEN-IN-05, RBT-IN-01, RBT-IN-03, FT-IN-01, FT-IN-03</t>
        </is>
      </c>
      <c r="C39" s="16" t="n">
        <v>6</v>
      </c>
      <c r="D39" s="16" t="inlineStr">
        <is>
          <t>ONE end-of-cycle reconciliation across the fleet</t>
        </is>
      </c>
      <c r="E39" s="16" t="inlineStr">
        <is>
          <t>RBT totals and FT counts per series reconcile against the faucet equation (out == in + committed + burnt_for_ft + still_pledged + still_locked), and every API balance matches the tokens table.</t>
        </is>
      </c>
      <c r="F39" s="16" t="inlineStr">
        <is>
          <t>every cycle, and again after any failed run</t>
        </is>
      </c>
    </row>
    <row r="40" ht="24" customHeight="1" s="14">
      <c r="A40" s="16" t="inlineStr">
        <is>
          <t>GEN-IN-15</t>
        </is>
      </c>
      <c r="B40" s="16" t="inlineStr">
        <is>
          <t>GEN-IN-22, RBT-IN-02, FT-IN-02</t>
        </is>
      </c>
      <c r="C40" s="16" t="n">
        <v>3</v>
      </c>
      <c r="D40" s="16" t="inlineStr">
        <is>
          <t>ONE fleet sweep for value that is stuck</t>
        </is>
      </c>
      <c r="E40" s="16" t="inlineStr">
        <is>
          <t>No tokens left Locked anywhere; no FT locks; no host holds Committed RBT without contracts to account for it.</t>
        </is>
      </c>
      <c r="F40" s="16" t="inlineStr">
        <is>
          <t>every cycle, every host</t>
        </is>
      </c>
    </row>
    <row r="41" ht="24" customHeight="1" s="14">
      <c r="A41" s="16" t="inlineStr">
        <is>
          <t>GEN-IN-08</t>
        </is>
      </c>
      <c r="B41" s="16" t="inlineStr">
        <is>
          <t>GEN-IN-09, GEN-IN-12, GEN-IN-13, GEN-IN-14</t>
        </is>
      </c>
      <c r="C41" s="16" t="n">
        <v>4</v>
      </c>
      <c r="D41" s="16" t="inlineStr">
        <is>
          <t>ONE fleet sweep of table invariants</t>
        </is>
      </c>
      <c r="E41" s="16" t="inlineStr">
        <is>
          <t>Counter agrees with real free tokens at every denomination; no phantom denom=0 row; no negative count; every free token has a chain row; no duplicate token id on a node.</t>
        </is>
      </c>
      <c r="F41" s="16" t="inlineStr">
        <is>
          <t>every cycle, every host</t>
        </is>
      </c>
    </row>
    <row r="42" ht="35" customHeight="1" s="14">
      <c r="A42" s="16" t="inlineStr">
        <is>
          <t>GEN-IN-16</t>
        </is>
      </c>
      <c r="B42" s="16" t="inlineStr">
        <is>
          <t>GEN-IN-10</t>
        </is>
      </c>
      <c r="C42" s="16" t="n">
        <v>1</v>
      </c>
      <c r="D42" s="16" t="inlineStr">
        <is>
          <t>ONE FT mint, with every denomination reconciled</t>
        </is>
      </c>
      <c r="E42" s="16" t="inlineStr">
        <is>
          <t>Each counter moves exactly as the burn requires and no denomination drifts.</t>
        </is>
      </c>
      <c r="F42" s="16" t="inlineStr">
        <is>
          <t>three mints of different sizes</t>
        </is>
      </c>
    </row>
    <row r="43" ht="24" customHeight="1" s="14">
      <c r="A43" s="16" t="inlineStr">
        <is>
          <t>GEN-IN-18</t>
        </is>
      </c>
      <c r="B43" s="16" t="inlineStr">
        <is>
          <t>GEN-IN-11</t>
        </is>
      </c>
      <c r="C43" s="16" t="n">
        <v>1</v>
      </c>
      <c r="D43" s="16" t="inlineStr">
        <is>
          <t>ONE valued deploy, with every denomination reconciled</t>
        </is>
      </c>
      <c r="E43" s="16" t="inlineStr">
        <is>
          <t>Each counter moves exactly as the collateral requires and nothing drifts outside the collateral denomination.</t>
        </is>
      </c>
      <c r="F43" s="16" t="inlineStr">
        <is>
          <t>three deploys at different values</t>
        </is>
      </c>
    </row>
    <row r="44" ht="24" customHeight="1" s="14">
      <c r="A44" s="16" t="inlineStr">
        <is>
          <t>GEN-IN-20</t>
        </is>
      </c>
      <c r="B44" s="16" t="inlineStr">
        <is>
          <t>GEN-IN-21</t>
        </is>
      </c>
      <c r="C44" s="16" t="n">
        <v>1</v>
      </c>
      <c r="D44" s="16" t="inlineStr">
        <is>
          <t>Fail one transfer, then fail ten in a row</t>
        </is>
      </c>
      <c r="E44" s="16" t="inlineStr">
        <is>
          <t>The locked count returns to its starting value after the first, and never rises across the ten.</t>
        </is>
      </c>
      <c r="F44" s="16" t="inlineStr">
        <is>
          <t>one failure, then ten in a row</t>
        </is>
      </c>
    </row>
    <row r="45" ht="15" customHeight="1" s="14">
      <c r="A45" s="16" t="inlineStr">
        <is>
          <t>GEN-ND-05</t>
        </is>
      </c>
      <c r="B45" s="16" t="inlineStr">
        <is>
          <t>GEN-ND-06, GEN-ND-07</t>
        </is>
      </c>
      <c r="C45" s="16" t="n">
        <v>2</v>
      </c>
      <c r="D45" s="16" t="inlineStr">
        <is>
          <t>Update part of the fleet to a new build and keep testing</t>
        </is>
      </c>
      <c r="E45" s="16" t="inlineStr">
        <is>
          <t>Old data still works, pre-upgrade tokens are still transferable, and transfers work both ways across a mixed fleet. Record the build PER ROLE.</t>
        </is>
      </c>
      <c r="F45" s="16" t="inlineStr">
        <is>
          <t>old build to new, then a mixed fleet both ways</t>
        </is>
      </c>
    </row>
    <row r="46" ht="24" customHeight="1" s="14">
      <c r="A46" s="16" t="inlineStr">
        <is>
          <t>GEN-B-08</t>
        </is>
      </c>
      <c r="B46" s="16" t="inlineStr">
        <is>
          <t>GEN-B-09, GEN-B-04</t>
        </is>
      </c>
      <c r="C46" s="16" t="n">
        <v>2</v>
      </c>
      <c r="D46" s="16" t="inlineStr">
        <is>
          <t>One grid: value versus parallel count versus quorum count, at 5/10/20/40 active nodes</t>
        </is>
      </c>
      <c r="E46" s="16" t="inlineStr">
        <is>
          <t>Produces the full picture in one run instead of four partial ones.</t>
        </is>
      </c>
      <c r="F46" s="16" t="inlineStr">
        <is>
          <t>the grid is the repetition</t>
        </is>
      </c>
    </row>
    <row r="47" ht="15" customHeight="1" s="14">
      <c r="A47" s="16" t="inlineStr">
        <is>
          <t>GEN-CH-01</t>
        </is>
      </c>
      <c r="B47" s="16" t="inlineStr">
        <is>
          <t>GEN-CH-03</t>
        </is>
      </c>
      <c r="C47" s="16" t="n">
        <v>1</v>
      </c>
      <c r="D47" s="16" t="inlineStr">
        <is>
          <t>One token moved through 5 hops, then 20, with the quorum changing each hop</t>
        </is>
      </c>
      <c r="E47" s="16" t="inlineStr">
        <is>
          <t>Every hop succeeds and the chain is intact at the end. GEN-CH-02 stays as the single-quorum control.</t>
        </is>
      </c>
      <c r="F47" s="16" t="inlineStr">
        <is>
          <t>5 hops, then 20</t>
        </is>
      </c>
    </row>
    <row r="48" ht="24" customHeight="1" s="14">
      <c r="A48" s="25" t="inlineStr">
        <is>
          <t>GEN-Q-03</t>
        </is>
      </c>
      <c r="B48" s="25" t="inlineStr">
        <is>
          <t>FT-Q-07, SC-Q-03, NFT-Q-03</t>
        </is>
      </c>
      <c r="C48" s="25" t="n">
        <v>3</v>
      </c>
      <c r="D48" s="25" t="inlineStr">
        <is>
          <t>A quorum node that is also transacting its own tokens, while it signs for others</t>
        </is>
      </c>
      <c r="E48" s="25" t="inlineStr">
        <is>
          <t>Both roles work at once. Repeat with the quorum moving RBT, FT, an NFT and a contract - the dual-role risk is the same in each.</t>
        </is>
      </c>
      <c r="F48" s="25" t="inlineStr">
        <is>
          <t>across the assets named in the note</t>
        </is>
      </c>
    </row>
    <row r="49" ht="24" customHeight="1" s="14">
      <c r="A49" s="25" t="inlineStr">
        <is>
          <t>GEN-Q-12</t>
        </is>
      </c>
      <c r="B49" s="25" t="inlineStr">
        <is>
          <t>SC-Q-05, FT-Q-09, NFT-Q-05</t>
        </is>
      </c>
      <c r="C49" s="25" t="n">
        <v>3</v>
      </c>
      <c r="D49" s="25" t="inlineStr">
        <is>
          <t>Restart a quorum node, then transact through it again</t>
        </is>
      </c>
      <c r="E49" s="25" t="inlineStr">
        <is>
          <t>The quorum signs again after the restart and the primary pick is unchanged. Repeat for an RBT transfer, an FT transfer, an NFT execute and a contract execute.</t>
        </is>
      </c>
      <c r="F49" s="25" t="inlineStr">
        <is>
          <t>across the assets named in the note</t>
        </is>
      </c>
    </row>
    <row r="50" ht="24" customHeight="1" s="14">
      <c r="A50" s="25" t="inlineStr">
        <is>
          <t>RBT-Q-12</t>
        </is>
      </c>
      <c r="B50" s="25" t="inlineStr">
        <is>
          <t>FT-Q-06, NFT-Q-02, SC-Q-02</t>
        </is>
      </c>
      <c r="C50" s="25" t="n">
        <v>3</v>
      </c>
      <c r="D50" s="25" t="inlineStr">
        <is>
          <t>Send a value larger than the quorum can pledge</t>
        </is>
      </c>
      <c r="E50" s="25" t="inlineStr">
        <is>
          <t>Rejected with a message naming pledge shortage, and nothing is left locked. The pledge check is value-based, so repeat the same case with RBT, an FT transfer, an NFT execute and a valued deploy.</t>
        </is>
      </c>
      <c r="F50" s="25" t="inlineStr">
        <is>
          <t>across the assets named in the note</t>
        </is>
      </c>
    </row>
    <row r="51">
      <c r="A51" s="25" t="inlineStr">
        <is>
          <t>RBT-ND-01</t>
        </is>
      </c>
      <c r="B51" s="25" t="inlineStr">
        <is>
          <t>FT-ND-01, FT-ND-03, NFT-ND-01, NFT-ND-02, SC-ND-01, SC-ND-02, CRS-ND-01, RBT-ND-03</t>
        </is>
      </c>
      <c r="C51" s="25" t="n">
        <v>8</v>
      </c>
      <c r="D51" s="25" t="inlineStr">
        <is>
          <t>Restart a node, then operate again with tokens created before the restart</t>
        </is>
      </c>
      <c r="E51" s="25" t="inlineStr">
        <is>
          <t>RBT transfer; FT mint from pre-restart tokens; NFT execute with its subscription intact; contract execute with its callback still firing; a combined call.</t>
        </is>
      </c>
      <c r="F51" s="25" t="inlineStr">
        <is>
          <t>across the assets named in the note</t>
        </is>
      </c>
    </row>
    <row r="52" ht="15" customHeight="1" s="14">
      <c r="A52" s="25" t="inlineStr">
        <is>
          <t>RBT-ND-02</t>
        </is>
      </c>
      <c r="B52" s="25" t="inlineStr">
        <is>
          <t>FT-ND-02, NFT-ND-03, SC-ND-03, CRS-ND-02</t>
        </is>
      </c>
      <c r="C52" s="25" t="n">
        <v>4</v>
      </c>
      <c r="D52" s="25" t="inlineStr">
        <is>
          <t>Restart a node in the MIDDLE of an operation</t>
        </is>
      </c>
      <c r="E52" s="25" t="inlineStr">
        <is>
          <t>Record what happens for each asset - whether it fails cleanly, recovers, or leaves value stuck. Repeat for RBT, FT, NFT ownership transfer, contract execute and a combined call.</t>
        </is>
      </c>
      <c r="F52" s="25" t="inlineStr">
        <is>
          <t>across the assets named in the note</t>
        </is>
      </c>
    </row>
    <row r="53" ht="15" customHeight="1" s="14">
      <c r="A53" s="25" t="inlineStr">
        <is>
          <t>GEN-DB-01</t>
        </is>
      </c>
      <c r="B53" s="25" t="inlineStr">
        <is>
          <t>RBT-DB-01</t>
        </is>
      </c>
      <c r="C53" s="25" t="n">
        <v>1</v>
      </c>
      <c r="D53" s="25" t="inlineStr">
        <is>
          <t>Mark a token as owned by the wrong DID, then transact with it</t>
        </is>
      </c>
      <c r="E53" s="25" t="inlineStr">
        <is>
          <t>Rejected. Repeat for an RBT token and an NFT.</t>
        </is>
      </c>
      <c r="F53" s="25" t="inlineStr">
        <is>
          <t>across the assets named in the note</t>
        </is>
      </c>
    </row>
    <row r="54" ht="15" customHeight="1" s="14">
      <c r="A54" s="25" t="inlineStr">
        <is>
          <t>GEN-DB-02</t>
        </is>
      </c>
      <c r="B54" s="25" t="inlineStr">
        <is>
          <t>RBT-DB-02, GEN-CH-06, FT-CH-04</t>
        </is>
      </c>
      <c r="C54" s="25" t="n">
        <v>3</v>
      </c>
      <c r="D54" s="25" t="inlineStr">
        <is>
          <t>Delete or break a chain row, then transact with that token</t>
        </is>
      </c>
      <c r="E54" s="25" t="inlineStr">
        <is>
          <t>Rejected for chain mismatch, or repaired by sync - assert which, since a silent repair is itself a finding. Repeat for RBT, FT and a mid-chain break.</t>
        </is>
      </c>
      <c r="F54" s="25" t="inlineStr">
        <is>
          <t>across the assets named in the note</t>
        </is>
      </c>
    </row>
    <row r="55" ht="15" customHeight="1" s="14">
      <c r="A55" s="25" t="inlineStr">
        <is>
          <t>GEN-DB-03</t>
        </is>
      </c>
      <c r="B55" s="25" t="inlineStr">
        <is>
          <t>FT-DB-03</t>
        </is>
      </c>
      <c r="C55" s="25" t="n">
        <v>1</v>
      </c>
      <c r="D55" s="25" t="inlineStr">
        <is>
          <t>Leave a token stuck Locked, then try to use it</t>
        </is>
      </c>
      <c r="E55" s="25" t="inlineStr">
        <is>
          <t>Rejected as unavailable. Repeat for RBT and FT.</t>
        </is>
      </c>
      <c r="F55" s="25" t="inlineStr">
        <is>
          <t>across the assets named in the note</t>
        </is>
      </c>
    </row>
    <row r="56" ht="79" customHeight="1" s="14"/>
    <row r="57" ht="46" customHeight="1" s="14">
      <c r="A57" s="21" t="inlineStr">
        <is>
          <t>Totals</t>
        </is>
      </c>
      <c r="B57" s="22" t="inlineStr">
        <is>
          <t>merged cases</t>
        </is>
      </c>
      <c r="C57" s="22">
        <f>COUNTA($A$2:$A$50)</f>
        <v/>
      </c>
    </row>
    <row r="58">
      <c r="A58" s="22" t="n"/>
      <c r="B58" s="22" t="inlineStr">
        <is>
          <t>rows absorbed</t>
        </is>
      </c>
      <c r="C58" s="22">
        <f>SUM($C$2:$C$50)</f>
        <v/>
      </c>
    </row>
    <row r="59">
      <c r="A59" s="22" t="n"/>
      <c r="B59" s="22" t="inlineStr">
        <is>
          <t>catalogue after merging</t>
        </is>
      </c>
      <c r="C59" s="22">
        <f>COUNTA('Test Cases'!$A$2:$A$397)-$C$53</f>
        <v/>
      </c>
    </row>
    <row r="60">
      <c r="A60" s="22" t="n"/>
      <c r="B60" s="22" t="n"/>
      <c r="C60" s="22" t="n"/>
    </row>
    <row r="61">
      <c r="A61" s="21" t="inlineStr">
        <is>
          <t>Why these are one case</t>
        </is>
      </c>
      <c r="B61" s="22" t="inlineStr">
        <is>
          <t>Rows collapse only when they are assertions on THE SAME operation - it is efficiency, not a new kind of test. Rows needing a different wallet, build or failure injection stay separate: GEN-IN-20 (rejected transfer) and GEN-IN-24 (rejected FT mint) are different operations, and SC-C-14/15/16 need three wallets.</t>
        </is>
      </c>
      <c r="C61" s="22" t="n"/>
    </row>
    <row r="62">
      <c r="A62" s="22" t="n"/>
      <c r="B62" s="22" t="inlineStr">
        <is>
          <t>Each case must report every assertion separately, otherwise one failure hides the rest - and must run across several values so no verdict rests on a single observation.</t>
        </is>
      </c>
      <c r="C62" s="22" t="n"/>
    </row>
    <row r="63"/>
    <row r="64"/>
    <row r="65">
      <c r="A65" s="27" t="inlineStr">
        <is>
          <t>Removed - these earn no slot</t>
        </is>
      </c>
    </row>
    <row r="66">
      <c r="A66" s="28" t="inlineStr">
        <is>
          <t>Test ID</t>
        </is>
      </c>
      <c r="B66" s="28" t="inlineStr">
        <is>
          <t>Why it was removed</t>
        </is>
      </c>
    </row>
    <row r="67">
      <c r="A67" s="29" t="inlineStr">
        <is>
          <t>CRS-Q-01</t>
        </is>
      </c>
      <c r="B67" s="30" t="inlineStr">
        <is>
          <t>Covered by CRS-13, which maps every combination through one quorum and records what was accepted.</t>
        </is>
      </c>
    </row>
    <row r="68">
      <c r="A68" s="29" t="inlineStr">
        <is>
          <t>FT-Q-05</t>
        </is>
      </c>
      <c r="B68" s="30" t="inlineStr">
        <is>
          <t>Not a test - it compares the results of RBT-Q-07 and FT-Q-03. That is a line in the report, not a case to run.</t>
        </is>
      </c>
    </row>
    <row r="69">
      <c r="A69" s="29" t="inlineStr">
        <is>
          <t>GEN-B-02</t>
        </is>
      </c>
      <c r="B69" s="30" t="inlineStr">
        <is>
          <t>Covered by GEN-B-08, which produces the value-versus-parallel-count grid; 'push until it slows' is that grid's output, not a separate run.</t>
        </is>
      </c>
    </row>
    <row r="70">
      <c r="A70" s="29" t="inlineStr">
        <is>
          <t>GEN-B-05</t>
        </is>
      </c>
      <c r="B70" s="30" t="inlineStr">
        <is>
          <t>Duplicate of RBT-B-07 - the same measurement of transfer time as chain history grows.</t>
        </is>
      </c>
    </row>
    <row r="71">
      <c r="A71" s="29" t="inlineStr">
        <is>
          <t>GEN-B-07</t>
        </is>
      </c>
      <c r="B71" s="30" t="inlineStr">
        <is>
          <t>Duplicate of RBT-P-04 - 1000 repeated decimal transfers checked for drift.</t>
        </is>
      </c>
    </row>
    <row r="72">
      <c r="A72" s="29" t="inlineStr">
        <is>
          <t>GEN-ND-02</t>
        </is>
      </c>
      <c r="B72" s="30" t="inlineStr">
        <is>
          <t>Rebooting the desktop validates the lab's systemd setup, not a rubix asset operation. Prove it once during setup, not every cycle.</t>
        </is>
      </c>
    </row>
    <row r="73">
      <c r="A73" s="29" t="inlineStr">
        <is>
          <t>GEN-Q-01</t>
        </is>
      </c>
      <c r="B73" s="30" t="inlineStr">
        <is>
          <t>Duplicate of RBT-Q-01, and equally trivial.</t>
        </is>
      </c>
    </row>
    <row r="74">
      <c r="A74" s="29" t="inlineStr">
        <is>
          <t>GEN-Q-02</t>
        </is>
      </c>
      <c r="B74" s="30" t="inlineStr">
        <is>
          <t>Trivial: 'transfers work when several quorums exist' is the state every multi-quorum case already runs in.</t>
        </is>
      </c>
    </row>
    <row r="75">
      <c r="A75" s="29" t="inlineStr">
        <is>
          <t>GEN-Q-08</t>
        </is>
      </c>
      <c r="B75" s="30" t="inlineStr">
        <is>
          <t>Not a product test - the same funding precondition as RBT-Q-11.</t>
        </is>
      </c>
    </row>
    <row r="76">
      <c r="A76" s="29" t="inlineStr">
        <is>
          <t>NFT-Q-01</t>
        </is>
      </c>
      <c r="B76" s="30" t="inlineStr">
        <is>
          <t>Duplicate of RBT-Q-01 for execute - every NFT execute case does this already.</t>
        </is>
      </c>
    </row>
    <row r="77">
      <c r="A77" s="29" t="inlineStr">
        <is>
          <t>RBT-M-02</t>
        </is>
      </c>
      <c r="B77" s="30" t="inlineStr">
        <is>
          <t>There is no user-facing RBT mint. Tokens reach a DID from the faucet, which is lab infrastructure, not a rubix asset operation. FT mint remains as the create path.</t>
        </is>
      </c>
    </row>
    <row r="78">
      <c r="A78" s="29" t="inlineStr">
        <is>
          <t>RBT-M-03</t>
        </is>
      </c>
      <c r="B78" s="30" t="inlineStr">
        <is>
          <t>Same - no user-facing RBT mint. Faucet batch size is a lab concern, covered by GEN-IN-27/28.</t>
        </is>
      </c>
    </row>
    <row r="79">
      <c r="A79" s="29" t="inlineStr">
        <is>
          <t>RBT-M-04</t>
        </is>
      </c>
      <c r="B79" s="30" t="inlineStr">
        <is>
          <t>Same - no user-facing RBT mint. 'A DID must exist first' is already proven by every funding step in every run.</t>
        </is>
      </c>
    </row>
    <row r="80">
      <c r="A80" s="29" t="inlineStr">
        <is>
          <t>RBT-P-03</t>
        </is>
      </c>
      <c r="B80" s="30" t="inlineStr">
        <is>
          <t>Duplicate of RBT-V-02 - both are the same &gt;3dp guard (core/parts/parts.go:54-58) refusing a 4-decimal amount. RBT-V-17 covers the interesting version, where the extra decimals come from the client's own arithmetic.</t>
        </is>
      </c>
    </row>
    <row r="81">
      <c r="A81" s="29" t="inlineStr">
        <is>
          <t>RBT-Q-01</t>
        </is>
      </c>
      <c r="B81" s="30" t="inlineStr">
        <is>
          <t>Trivial. A single uncontended transfer through one quorum is the happy path that every other transfer case performs first; the smoke test already covers it.</t>
        </is>
      </c>
    </row>
    <row r="82">
      <c r="A82" s="29" t="inlineStr">
        <is>
          <t>RBT-Q-11</t>
        </is>
      </c>
      <c r="B82" s="30" t="inlineStr">
        <is>
          <t>Not a product test - a run precondition. Quorum funding belongs in the harness setup, asserted every cycle, not in the catalogue.</t>
        </is>
      </c>
    </row>
    <row r="83">
      <c r="A83" s="29" t="inlineStr">
        <is>
          <t>SC-Q-01</t>
        </is>
      </c>
      <c r="B83" s="30" t="inlineStr">
        <is>
          <t>Duplicate of RBT-Q-01 for deploy - every collateral case deploys through one quorum already.</t>
        </is>
      </c>
    </row>
    <row r="84">
      <c r="A84" s="29" t="inlineStr">
        <is>
          <t>SC-Q-04</t>
        </is>
      </c>
      <c r="B84" s="30" t="inlineStr">
        <is>
          <t>Cannot fail. One quorum per transaction is fixed by constants (QuorumRequired = MinQuorumRequired = MinConsensusRequired = 1, core/quorum_initiator.go:17-19) and a single-element slice (core/transaction.go:289-294). A test that cannot fail finds nothing.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54"/>
  <sheetViews>
    <sheetView showFormulas="0" showGridLines="1" showRowColHeaders="1" showZeros="1" rightToLeft="0" tabSelected="0" showOutlineSymbols="1" defaultGridColor="1" view="normal" topLeftCell="A1" colorId="64" zoomScale="75" zoomScaleNormal="75" zoomScalePageLayoutView="100" workbookViewId="0">
      <selection pane="topLeft" activeCell="A1" activeCellId="0" sqref="A1"/>
    </sheetView>
  </sheetViews>
  <sheetFormatPr baseColWidth="8" defaultColWidth="8.453125" defaultRowHeight="15" customHeight="0" zeroHeight="0" outlineLevelRow="0"/>
  <cols>
    <col width="38" customWidth="1" style="13" min="1" max="1"/>
    <col width="105" customWidth="1" style="13" min="2" max="2"/>
  </cols>
  <sheetData>
    <row r="1" ht="15" customHeight="1" s="14">
      <c r="A1" s="23" t="inlineStr">
        <is>
          <t>How to use this workbook</t>
        </is>
      </c>
      <c r="B1" s="22" t="n"/>
    </row>
    <row r="2" ht="15" customHeight="1" s="14">
      <c r="A2" s="22" t="n"/>
      <c r="B2" s="22" t="n"/>
    </row>
    <row r="3" ht="15" customHeight="1" s="14">
      <c r="A3" s="22" t="inlineStr">
        <is>
          <t>Edit the yellow column only</t>
        </is>
      </c>
      <c r="B3" s="22" t="inlineStr">
        <is>
          <t>'Review Notes' on the Test Cases sheet. Everything left of it is the catalogue as it stands.</t>
        </is>
      </c>
    </row>
    <row r="4" ht="15" customHeight="1" s="14">
      <c r="A4" s="22" t="inlineStr">
        <is>
          <t>What happens next</t>
        </is>
      </c>
      <c r="B4" s="22" t="inlineStr">
        <is>
          <t>Your edits to that column drive both the catalogue rewrite and the test scripts.</t>
        </is>
      </c>
    </row>
    <row r="5" ht="15" customHeight="1" s="14">
      <c r="A5" s="22" t="inlineStr">
        <is>
          <t>Source</t>
        </is>
      </c>
      <c r="B5" s="22" t="inlineStr">
        <is>
          <t>master-catalogue.csv plus 17 cases added in review, 413 rows total. Code references are rubixgoplatform @ ceafbe0d, read directly.</t>
        </is>
      </c>
    </row>
    <row r="6" ht="15" customHeight="1" s="14">
      <c r="A6" s="21" t="inlineStr">
        <is>
          <t>Network</t>
        </is>
      </c>
      <c r="B6" s="22" t="inlineStr">
        <is>
          <t>The lab runs as a custom-swarm TESTNET. Assume every mainnet capability is available; no case should be limited or excluded because of network mode.</t>
        </is>
      </c>
    </row>
    <row r="7" ht="15" customHeight="1" s="14">
      <c r="A7" s="21" t="inlineStr">
        <is>
          <t>Wallet preparation</t>
        </is>
      </c>
      <c r="B7" s="22" t="inlineStr">
        <is>
          <t>A case must BUILD the wallet it needs, in this order. (1) Rearrange what the DID already holds - this is the only way to get PART tokens, since the faucet hands out whole tokens only. Parts are produced by another DID sending a fractional amount, which forces the split on the sender. (2) If WHOLE tokens are missing, take them from the faucet. (3) If the DID's holdings cannot be shaped - too fragmented, stuck Locked, or otherwise corrupted - abandon that DID and use another, or create a fresh one. Never spend run time repairing a wallet; the point of the run is to test asset operations, not to fix state. SKIP only when even a fresh, funded DID could not be prepared - and say which step failed. Helpers: wallet_shapes.py - make_parts_wallet / make_mixed_wallet / make_minimum_unit_wallet / drain_whole_tokens / drain_to / second_did.</t>
        </is>
      </c>
    </row>
    <row r="8" ht="15" customHeight="1" s="14">
      <c r="A8" s="21" t="inlineStr">
        <is>
          <t>Never one observation</t>
        </is>
      </c>
      <c r="B8" s="22" t="inlineStr">
        <is>
          <t>A case that verifies several things runs them across several values or conditions, and reports each assertion separately.</t>
        </is>
      </c>
    </row>
    <row r="9" ht="15" customHeight="1" s="14">
      <c r="A9" s="21" t="inlineStr">
        <is>
          <t>Infrastructure failures</t>
        </is>
      </c>
      <c r="B9" s="22" t="inlineStr">
        <is>
          <t>A case that fails because of the network or the database is NOT a product failure. Report it as INFRA with the evidence (connection refused, timeout, DB error text, which host), and keep it out of the pass/fail counts. A run with INFRA rows is incomplete, not red - re-run those cases. Never let an unreachable node or a full connection pool be recorded as a rubix bug.</t>
        </is>
      </c>
    </row>
    <row r="10" ht="15" customHeight="1" s="14">
      <c r="A10" s="22" t="n"/>
      <c r="B10" s="22" t="n"/>
    </row>
    <row r="11" ht="15" customHeight="1" s="14">
      <c r="A11" s="22" t="inlineStr">
        <is>
          <t>Prefix</t>
        </is>
      </c>
      <c r="B11" s="22" t="inlineStr">
        <is>
          <t>Meaning</t>
        </is>
      </c>
    </row>
    <row r="12" ht="15" customHeight="1" s="14">
      <c r="A12" s="22" t="inlineStr">
        <is>
          <t>OK</t>
        </is>
      </c>
      <c r="B12" s="22" t="inlineStr">
        <is>
          <t>Doable as written through the public API or CLI.</t>
        </is>
      </c>
    </row>
    <row r="13" ht="15" customHeight="1" s="14">
      <c r="A13" s="22" t="inlineStr">
        <is>
          <t>OK (record-only)</t>
        </is>
      </c>
      <c r="B13" s="22" t="inlineStr">
        <is>
          <t>Doable; the case records a number rather than passing or failing. The number is the regression signal.</t>
        </is>
      </c>
    </row>
    <row r="14" ht="15" customHeight="1" s="14">
      <c r="A14" s="22" t="inlineStr">
        <is>
          <t>CONSTRAINT</t>
        </is>
      </c>
      <c r="B14" s="22" t="inlineStr">
        <is>
          <t>Doable only if the row states an extra precondition, named in the note.</t>
        </is>
      </c>
    </row>
    <row r="15" ht="15" customHeight="1" s="14">
      <c r="A15" s="22" t="inlineStr">
        <is>
          <t>REWRITE</t>
        </is>
      </c>
      <c r="B15" s="22" t="inlineStr">
        <is>
          <t>The case tests something the code does not do. The note says what it actually does.</t>
        </is>
      </c>
    </row>
    <row r="16" ht="15" customHeight="1" s="14">
      <c r="A16" s="22" t="inlineStr">
        <is>
          <t>VERIFY FIRST</t>
        </is>
      </c>
      <c r="B16" s="22" t="inlineStr">
        <is>
          <t>I have not confirmed this against the code. Do not trust the expected result yet.</t>
        </is>
      </c>
    </row>
    <row r="17" ht="15" customHeight="1" s="14">
      <c r="A17" s="22" t="inlineStr">
        <is>
          <t>IN SCOPE</t>
        </is>
      </c>
      <c r="B17" s="22" t="inlineStr">
        <is>
          <t>Direct DB manipulation. In scope: forged state must be caught.</t>
        </is>
      </c>
    </row>
    <row r="18" ht="15" customHeight="1" s="14">
      <c r="A18" s="22" t="inlineStr">
        <is>
          <t>NODE-KILL</t>
        </is>
      </c>
      <c r="B18" s="22" t="inlineStr">
        <is>
          <t>Doable, but needs kill/restart orchestration the harness does not have yet.</t>
        </is>
      </c>
    </row>
    <row r="19" ht="15" customHeight="1" s="14">
      <c r="A19" s="22" t="inlineStr">
        <is>
          <t>NOT A TEST</t>
        </is>
      </c>
      <c r="B19" s="22" t="inlineStr">
        <is>
          <t>A run precondition, not a product behaviour. Belongs in the harness.</t>
        </is>
      </c>
    </row>
    <row r="20" ht="15" customHeight="1" s="14">
      <c r="A20" s="22" t="inlineStr">
        <is>
          <t>BLOCKED</t>
        </is>
      </c>
      <c r="B20" s="22" t="inlineStr">
        <is>
          <t>Blocked on a missing precondition, named in the note.</t>
        </is>
      </c>
    </row>
    <row r="21" ht="15" customHeight="1" s="14">
      <c r="A21" s="22" t="inlineStr">
        <is>
          <t>MULTI-NODE</t>
        </is>
      </c>
      <c r="B21" s="22" t="inlineStr">
        <is>
          <t>Doable, but needs pinned roles across hops so the route is reproducible.</t>
        </is>
      </c>
    </row>
    <row r="22" ht="15" customHeight="1" s="14">
      <c r="A22" s="22" t="inlineStr">
        <is>
          <t>Covered by &lt;ID&gt;</t>
        </is>
      </c>
      <c r="B22" s="22" t="inlineStr">
        <is>
          <t>Another case already verifies this on the same operation. Fold the check in there and delete this row.</t>
        </is>
      </c>
    </row>
    <row r="23" ht="15" customHeight="1" s="14">
      <c r="A23" s="22" t="inlineStr">
        <is>
          <t>CAUTION</t>
        </is>
      </c>
      <c r="B23" s="22" t="inlineStr">
        <is>
          <t>Works, but reads absolute fleet state and carries history between runs.</t>
        </is>
      </c>
    </row>
    <row r="24" ht="15" customHeight="1" s="14">
      <c r="A24" s="22" t="n"/>
      <c r="B24" s="22" t="n"/>
    </row>
    <row r="25" ht="15" customHeight="1" s="14">
      <c r="A25" s="22" t="inlineStr">
        <is>
          <t>Counts by prefix</t>
        </is>
      </c>
      <c r="B25" s="22" t="inlineStr">
        <is>
          <t>(formulas over the Test Cases sheet)</t>
        </is>
      </c>
    </row>
    <row r="26" ht="15" customHeight="1" s="14">
      <c r="A26" s="22" t="inlineStr">
        <is>
          <t>OK (record-only)</t>
        </is>
      </c>
      <c r="B26" s="22">
        <f>COUNTIF('Test Cases'!$P$2:$P$414,"OK (record-only)*")</f>
        <v/>
      </c>
    </row>
    <row r="27" ht="15" customHeight="1" s="14">
      <c r="A27" s="22" t="inlineStr">
        <is>
          <t>CONSTRAINT</t>
        </is>
      </c>
      <c r="B27" s="22">
        <f>COUNTIF('Test Cases'!$P$2:$P$414,"CONSTRAINT*")</f>
        <v/>
      </c>
    </row>
    <row r="28" ht="15" customHeight="1" s="14">
      <c r="A28" s="22" t="inlineStr">
        <is>
          <t>REWRITE</t>
        </is>
      </c>
      <c r="B28" s="22">
        <f>COUNTIF('Test Cases'!$P$2:$P$414,"REWRITE*")</f>
        <v/>
      </c>
    </row>
    <row r="29" ht="15" customHeight="1" s="14">
      <c r="A29" s="22" t="inlineStr">
        <is>
          <t>VERIFY FIRST</t>
        </is>
      </c>
      <c r="B29" s="22">
        <f>COUNTIF('Test Cases'!$P$2:$P$414,"VERIFY FIRST*")</f>
        <v/>
      </c>
    </row>
    <row r="30" ht="15" customHeight="1" s="14">
      <c r="A30" s="22" t="inlineStr">
        <is>
          <t>IN SCOPE</t>
        </is>
      </c>
      <c r="B30" s="22">
        <f>COUNTIF('Test Cases'!$P$2:$P$414,"IN SCOPE*")</f>
        <v/>
      </c>
    </row>
    <row r="31" ht="15" customHeight="1" s="14">
      <c r="A31" s="22" t="inlineStr">
        <is>
          <t>NODE-KILL</t>
        </is>
      </c>
      <c r="B31" s="22">
        <f>COUNTIF('Test Cases'!$P$2:$P$414,"NODE-KILL*")</f>
        <v/>
      </c>
    </row>
    <row r="32" ht="15" customHeight="1" s="14">
      <c r="A32" s="22" t="inlineStr">
        <is>
          <t>NOT A TEST</t>
        </is>
      </c>
      <c r="B32" s="22">
        <f>COUNTIF('Test Cases'!$P$2:$P$414,"NOT A TEST*")</f>
        <v/>
      </c>
    </row>
    <row r="33" ht="15" customHeight="1" s="14">
      <c r="A33" s="22" t="inlineStr">
        <is>
          <t>BLOCKED</t>
        </is>
      </c>
      <c r="B33" s="22">
        <f>COUNTIF('Test Cases'!$P$2:$P$414,"BLOCKED*")</f>
        <v/>
      </c>
    </row>
    <row r="34" ht="15" customHeight="1" s="14">
      <c r="A34" s="22" t="inlineStr">
        <is>
          <t>CAUTION</t>
        </is>
      </c>
      <c r="B34" s="22">
        <f>COUNTIF('Test Cases'!$P$2:$P$414,"CAUTION*")</f>
        <v/>
      </c>
    </row>
    <row r="35" ht="24" customHeight="1" s="14">
      <c r="A35" s="24" t="inlineStr">
        <is>
          <t>MULTI-NODE</t>
        </is>
      </c>
      <c r="B35" s="13">
        <f>COUNTIF('Test Cases'!$P$2:$P$414,"MULTI-NODE*")</f>
        <v/>
      </c>
    </row>
    <row r="36" ht="15" customHeight="1" s="14">
      <c r="A36" s="22" t="inlineStr">
        <is>
          <t>Total rows</t>
        </is>
      </c>
      <c r="B36" s="22">
        <f>COUNTA('Test Cases'!$A$2:$A$414)</f>
        <v/>
      </c>
    </row>
    <row r="37" ht="24" customHeight="1" s="14">
      <c r="A37" s="22" t="n"/>
      <c r="B37" s="22" t="n"/>
    </row>
    <row r="38" ht="15" customHeight="1" s="14">
      <c r="A38" s="22" t="inlineStr">
        <is>
          <t>Verified code facts behind these notes</t>
        </is>
      </c>
      <c r="B38" s="22" t="n"/>
    </row>
    <row r="39" ht="15" customHeight="1" s="14">
      <c r="A39" s="22" t="inlineStr">
        <is>
          <t>One quorum per transaction</t>
        </is>
      </c>
      <c r="B39" s="22" t="inlineStr">
        <is>
          <t>CONFIRMED. transactionInfo.Quorums is a single-element slice from quorumAddresses[0] (core/transaction.go:289-294); the signature list is too (core/transaction.go:376-379); QuorumRequired = MinQuorumRequired = MinConsensusRequired = 1 (core/quorum_initiator.go:17-19). Multi-quorum consensus for one transaction cannot be produced by any client, so 'spread across N quorums' can only mean different senders using different quorums.</t>
        </is>
      </c>
    </row>
    <row r="40" ht="24" customHeight="1" s="14">
      <c r="A40" s="22" t="inlineStr">
        <is>
          <t>Primary quorum is not deterministic</t>
        </is>
      </c>
      <c r="B40" s="22" t="inlineStr">
        <is>
          <t>SELECT did FROM quorum_manager, no ORDER BY (core/wallet/quorum.go:66-69)</t>
        </is>
      </c>
    </row>
    <row r="41" ht="24" customHeight="1" s="14">
      <c r="A41" s="22" t="inlineStr">
        <is>
          <t>3 decimal places</t>
        </is>
      </c>
      <c r="B41" s="22" t="inlineStr">
        <is>
          <t>string-length check on strconv.FormatFloat(amount,'f',-1,64) (core/parts/parts.go:54-58); FloatPrecision rounds but is not applied there (math/math.go:16-19)</t>
        </is>
      </c>
    </row>
    <row r="42" ht="15" customHeight="1" s="14">
      <c r="A42" s="22" t="inlineStr">
        <is>
          <t>Zero-value transfer</t>
        </is>
      </c>
      <c r="B42" s="22" t="inlineStr">
        <is>
          <t>rejected when RBT==0 and no FT and no SC (core/transaction_builder.go:424-426)</t>
        </is>
      </c>
    </row>
    <row r="43" ht="15" customHeight="1" s="14">
      <c r="A43" s="22" t="inlineStr">
        <is>
          <t>RBT minting</t>
        </is>
      </c>
      <c r="B43" s="22" t="inlineStr">
        <is>
          <t>no user-facing RBT mint - tokens reach a DID from the faucet server (core/token.go:388-420). FT mint is the create path that remains.</t>
        </is>
      </c>
    </row>
    <row r="44" ht="15" customHeight="1" s="14">
      <c r="A44" s="22" t="inlineStr">
        <is>
          <t>Token level is network-scoped</t>
        </is>
      </c>
      <c r="B44" s="22" t="inlineStr">
        <is>
          <t>tokens must be level &gt;= 50000 (TestnetRBT_Level_Offset, constants/constants.go:13); enforced at core/consensus/checks.go:437-455</t>
        </is>
      </c>
    </row>
    <row r="45" ht="15" customHeight="1" s="14">
      <c r="A45" s="22" t="inlineStr">
        <is>
          <t>Unpledge</t>
        </is>
      </c>
      <c r="B45" s="22" t="inlineStr">
        <is>
          <t>transactions are published, and a quorum unpledges on seeing a later spend (core/fullnode.go:75 -&gt; UnpledgeV2)</t>
        </is>
      </c>
    </row>
    <row r="46" ht="15" customHeight="1" s="14">
      <c r="A46" s="22" t="inlineStr">
        <is>
          <t>Unpledge picks an arbitrary quorum DID</t>
        </is>
      </c>
      <c r="B46" s="22" t="inlineStr">
        <is>
          <t>for did := range c.qc { ...; break } (core/fullnode.go:66-70) - Go map order is randomised</t>
        </is>
      </c>
    </row>
    <row r="47" ht="15" customHeight="1" s="14">
      <c r="A47" s="22" t="inlineStr">
        <is>
          <t>FT caps</t>
        </is>
      </c>
      <c r="B47" s="22" t="inlineStr">
        <is>
          <t>FTCount&gt;0, TokenCount&gt;0, FTCount&lt;=TokenCount*1000 (core/ft.go:65-72)</t>
        </is>
      </c>
    </row>
    <row r="48" ht="15" customHeight="1" s="14">
      <c r="A48" s="22" t="inlineStr">
        <is>
          <t>FT re-mint accumulates</t>
        </is>
      </c>
      <c r="B48" s="22" t="inlineStr">
        <is>
          <t>ON CONFLICT (ft_name, creator_did) DO UPDATE (core/ft.go:198)</t>
        </is>
      </c>
    </row>
    <row r="49" ht="15" customHeight="1" s="14">
      <c r="A49" s="22" t="inlineStr">
        <is>
          <t>NFT transfer must change owner</t>
        </is>
      </c>
      <c r="B49" s="22" t="inlineStr">
        <is>
          <t>initiator must be current owner; owner==new owner rejected (core/consensus/checks.go:399-404)</t>
        </is>
      </c>
    </row>
    <row r="50" ht="15" customHeight="1" s="14">
      <c r="A50" s="22" t="inlineStr">
        <is>
          <t>NFT/SC execute is open to any subscriber</t>
        </is>
      </c>
      <c r="B50" s="22" t="inlineStr">
        <is>
          <t>by design (core/consensus/checks.go:115-127)</t>
        </is>
      </c>
    </row>
    <row r="51" ht="15" customHeight="1" s="14">
      <c r="A51" s="22" t="inlineStr">
        <is>
          <t>NFT deploy cannot be combined</t>
        </is>
      </c>
      <c r="B51" s="22" t="inlineStr">
        <is>
          <t>rejected with RBT/FT/SC (core/transaction_builder.go:428-436)</t>
        </is>
      </c>
    </row>
    <row r="52" ht="15" customHeight="1" s="14">
      <c r="A52" s="22" t="inlineStr">
        <is>
          <t>No merge of split parts</t>
        </is>
      </c>
      <c r="B52" s="22" t="inlineStr">
        <is>
          <t>no merge/combine function exists in core/ - splitting is one-way</t>
        </is>
      </c>
    </row>
    <row r="53" ht="15" customHeight="1" s="14">
      <c r="A53" s="22" t="inlineStr">
        <is>
          <t>Split depth</t>
        </is>
      </c>
      <c r="B53" s="22" t="inlineStr">
        <is>
          <t>6 levels, max part index 1332 (core/parts/parts.go:254-269)</t>
        </is>
      </c>
    </row>
    <row r="54" ht="15" customHeight="1" s="14">
      <c r="A54" s="22" t="inlineStr">
        <is>
          <t>Committed is terminal</t>
        </is>
      </c>
      <c r="B54" s="22" t="inlineStr">
        <is>
          <t>TokenStatus_Committed has no release path</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en-IN</dc:language>
  <dcterms:created xsi:type="dcterms:W3CDTF">2026-09-21T19:14:35Z</dcterms:created>
  <dcterms:modified xsi:type="dcterms:W3CDTF">2026-09-22T06:08:38Z</dcterms:modified>
  <cp:revision>2</cp:revision>
</cp:coreProperties>
</file>